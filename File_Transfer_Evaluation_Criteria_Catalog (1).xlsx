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eria Catalog" sheetId="1" state="visible" r:id="rId1"/>
    <sheet xmlns:r="http://schemas.openxmlformats.org/officeDocument/2006/relationships" name="Evaluation Matrix" sheetId="2" state="visible" r:id="rId2"/>
    <sheet xmlns:r="http://schemas.openxmlformats.org/officeDocument/2006/relationships" name="Scoring Scale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'Criteria Catalog'!$A$1:$J$37</definedName>
    <definedName name="_xlnm._FilterDatabase" localSheetId="1" hidden="1">'Evaluation Matrix'!$A$1:$L$37</definedName>
    <definedName name="_xlnm._FilterDatabase" localSheetId="2" hidden="1">'Scoring Scale'!$A$1:$B$6</definedName>
    <definedName name="_xlnm._FilterDatabase" localSheetId="3" hidden="1">'Summary'!$A$1:$F$8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2" customWidth="1" min="3" max="3"/>
    <col width="70" customWidth="1" min="4" max="4"/>
    <col width="12" customWidth="1" min="5" max="5"/>
    <col width="10" customWidth="1" min="6" max="6"/>
    <col width="22" customWidth="1" min="7" max="7"/>
    <col width="45" customWidth="1" min="8" max="8"/>
    <col width="18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Criterion</t>
        </is>
      </c>
      <c r="D1" s="1" t="inlineStr">
        <is>
          <t>Description / What to Evaluate</t>
        </is>
      </c>
      <c r="E1" s="1" t="inlineStr">
        <is>
          <t>Priority</t>
        </is>
      </c>
      <c r="F1" s="1" t="inlineStr">
        <is>
          <t>Weight (%)</t>
        </is>
      </c>
      <c r="G1" s="1" t="inlineStr">
        <is>
          <t>Evaluation Type</t>
        </is>
      </c>
      <c r="H1" s="1" t="inlineStr">
        <is>
          <t>Required Evidence</t>
        </is>
      </c>
      <c r="I1" s="1" t="inlineStr">
        <is>
          <t>Score (1-5)</t>
        </is>
      </c>
      <c r="J1" s="1" t="inlineStr">
        <is>
          <t>Comments</t>
        </is>
      </c>
    </row>
    <row r="2">
      <c r="A2" s="2" t="inlineStr">
        <is>
          <t>SC-01</t>
        </is>
      </c>
      <c r="B2" s="2" t="inlineStr">
        <is>
          <t>Scalable</t>
        </is>
      </c>
      <c r="C2" s="2" t="inlineStr">
        <is>
          <t>Volume Scalability</t>
        </is>
      </c>
      <c r="D2" s="2" t="inlineStr">
        <is>
          <t>Ability to increase the number and size of transferred files without disproportionate service degradation.</t>
        </is>
      </c>
      <c r="E2" s="2" t="inlineStr">
        <is>
          <t>High</t>
        </is>
      </c>
      <c r="F2" s="2" t="n">
        <v>5</v>
      </c>
      <c r="G2" s="2" t="inlineStr">
        <is>
          <t>Quantitative / Demo</t>
        </is>
      </c>
      <c r="H2" s="2" t="inlineStr">
        <is>
          <t>Límites documentados, pruebas de volumen y métricas</t>
        </is>
      </c>
      <c r="I2" s="2" t="n"/>
      <c r="J2" s="2" t="n"/>
    </row>
    <row r="3">
      <c r="A3" s="2" t="inlineStr">
        <is>
          <t>SC-02</t>
        </is>
      </c>
      <c r="B3" s="2" t="inlineStr">
        <is>
          <t>Scalable</t>
        </is>
      </c>
      <c r="C3" s="2" t="inlineStr">
        <is>
          <t>Frequency Scalability</t>
        </is>
      </c>
      <c r="D3" s="2" t="inlineStr">
        <is>
          <t>Ability to increase execution frequency and job concurrency without disproportionate operational overhead.</t>
        </is>
      </c>
      <c r="E3" s="2" t="inlineStr">
        <is>
          <t>High</t>
        </is>
      </c>
      <c r="F3" s="2" t="n">
        <v>4</v>
      </c>
      <c r="G3" s="2" t="inlineStr">
        <is>
          <t>Quantitative / Demo</t>
        </is>
      </c>
      <c r="H3" s="2" t="inlineStr">
        <is>
          <t>Pruebas de concurrencia y scheduling</t>
        </is>
      </c>
      <c r="I3" s="2" t="n"/>
      <c r="J3" s="2" t="n"/>
    </row>
    <row r="4">
      <c r="A4" s="2" t="inlineStr">
        <is>
          <t>SC-03</t>
        </is>
      </c>
      <c r="B4" s="2" t="inlineStr">
        <is>
          <t>Scalable</t>
        </is>
      </c>
      <c r="C4" s="2" t="inlineStr">
        <is>
          <t>Complexity Scalability</t>
        </is>
      </c>
      <c r="D4" s="2" t="inlineStr">
        <is>
          <t>Support for complex workflows, dependencies, conditions, transformations, and multiple sources/destinations.</t>
        </is>
      </c>
      <c r="E4" s="2" t="inlineStr">
        <is>
          <t>Medium</t>
        </is>
      </c>
      <c r="F4" s="2" t="n">
        <v>3</v>
      </c>
      <c r="G4" s="2" t="inlineStr">
        <is>
          <t>Functional</t>
        </is>
      </c>
      <c r="H4" s="2" t="inlineStr">
        <is>
          <t>Documentación y demo</t>
        </is>
      </c>
      <c r="I4" s="2" t="n"/>
      <c r="J4" s="2" t="n"/>
    </row>
    <row r="5">
      <c r="A5" s="2" t="inlineStr">
        <is>
          <t>SC-04</t>
        </is>
      </c>
      <c r="B5" s="2" t="inlineStr">
        <is>
          <t>Scalable</t>
        </is>
      </c>
      <c r="C5" s="2" t="inlineStr">
        <is>
          <t>Operational Scalability</t>
        </is>
      </c>
      <c r="D5" s="2" t="inlineStr">
        <is>
          <t>Ability to manage more jobs, users, and endpoints without significantly increasing administrative effort.</t>
        </is>
      </c>
      <c r="E5" s="2" t="inlineStr">
        <is>
          <t>High</t>
        </is>
      </c>
      <c r="F5" s="2" t="n">
        <v>4</v>
      </c>
      <c r="G5" s="2" t="inlineStr">
        <is>
          <t>Functional / Demo</t>
        </is>
      </c>
      <c r="H5" s="2" t="inlineStr">
        <is>
          <t>Modelo de administración y métricas</t>
        </is>
      </c>
      <c r="I5" s="2" t="n"/>
      <c r="J5" s="2" t="n"/>
    </row>
    <row r="6">
      <c r="A6" s="2" t="inlineStr">
        <is>
          <t>RE-01</t>
        </is>
      </c>
      <c r="B6" s="2" t="inlineStr">
        <is>
          <t>Reliable</t>
        </is>
      </c>
      <c r="C6" s="2" t="inlineStr">
        <is>
          <t>Predictable Execution</t>
        </is>
      </c>
      <c r="D6" s="2" t="inlineStr">
        <is>
          <t>Jobs execute consistently and produce predictable results.</t>
        </is>
      </c>
      <c r="E6" s="2" t="inlineStr">
        <is>
          <t>High</t>
        </is>
      </c>
      <c r="F6" s="2" t="n">
        <v>5</v>
      </c>
      <c r="G6" s="2" t="inlineStr">
        <is>
          <t>Demo / Test</t>
        </is>
      </c>
      <c r="H6" s="2" t="inlineStr">
        <is>
          <t>Resultados de ejecuciones repetidas</t>
        </is>
      </c>
      <c r="I6" s="2" t="n"/>
      <c r="J6" s="2" t="n"/>
    </row>
    <row r="7">
      <c r="A7" s="2" t="inlineStr">
        <is>
          <t>RE-02</t>
        </is>
      </c>
      <c r="B7" s="2" t="inlineStr">
        <is>
          <t>Reliable</t>
        </is>
      </c>
      <c r="C7" s="2" t="inlineStr">
        <is>
          <t>Failure Handling</t>
        </is>
      </c>
      <c r="D7" s="2" t="inlineStr">
        <is>
          <t>Detects and handles execution and transfer errors without leaving inconsistent states.</t>
        </is>
      </c>
      <c r="E7" s="2" t="inlineStr">
        <is>
          <t>High</t>
        </is>
      </c>
      <c r="F7" s="2" t="n">
        <v>5</v>
      </c>
      <c r="G7" s="2" t="inlineStr">
        <is>
          <t>Demo</t>
        </is>
      </c>
      <c r="H7" s="2" t="inlineStr">
        <is>
          <t>Pruebas con fallas inducidas</t>
        </is>
      </c>
      <c r="I7" s="2" t="n"/>
      <c r="J7" s="2" t="n"/>
    </row>
    <row r="8">
      <c r="A8" s="2" t="inlineStr">
        <is>
          <t>RE-03</t>
        </is>
      </c>
      <c r="B8" s="2" t="inlineStr">
        <is>
          <t>Reliable</t>
        </is>
      </c>
      <c r="C8" s="2" t="inlineStr">
        <is>
          <t>Transfer Resume</t>
        </is>
      </c>
      <c r="D8" s="2" t="inlineStr">
        <is>
          <t>Allows an interrupted transfer to continue without unnecessarily restarting the entire file.</t>
        </is>
      </c>
      <c r="E8" s="2" t="inlineStr">
        <is>
          <t>High</t>
        </is>
      </c>
      <c r="F8" s="2" t="n">
        <v>5</v>
      </c>
      <c r="G8" s="2" t="inlineStr">
        <is>
          <t>Demo</t>
        </is>
      </c>
      <c r="H8" s="2" t="inlineStr">
        <is>
          <t>Prueba de interrupción/reanudación</t>
        </is>
      </c>
      <c r="I8" s="2" t="n"/>
      <c r="J8" s="2" t="n"/>
    </row>
    <row r="9">
      <c r="A9" s="2" t="inlineStr">
        <is>
          <t>RE-04</t>
        </is>
      </c>
      <c r="B9" s="2" t="inlineStr">
        <is>
          <t>Reliable</t>
        </is>
      </c>
      <c r="C9" s="2" t="inlineStr">
        <is>
          <t>Configurable Retry</t>
        </is>
      </c>
      <c r="D9" s="2" t="inlineStr">
        <is>
          <t>Allows configuration of retry count, intervals, backoff, and retry conditions.</t>
        </is>
      </c>
      <c r="E9" s="2" t="inlineStr">
        <is>
          <t>High</t>
        </is>
      </c>
      <c r="F9" s="2" t="n">
        <v>4</v>
      </c>
      <c r="G9" s="2" t="inlineStr">
        <is>
          <t>Functional / Demo</t>
        </is>
      </c>
      <c r="H9" s="2" t="inlineStr">
        <is>
          <t>Configuración y evidencia</t>
        </is>
      </c>
      <c r="I9" s="2" t="n"/>
      <c r="J9" s="2" t="n"/>
    </row>
    <row r="10">
      <c r="A10" s="2" t="inlineStr">
        <is>
          <t>RE-05</t>
        </is>
      </c>
      <c r="B10" s="2" t="inlineStr">
        <is>
          <t>Reliable</t>
        </is>
      </c>
      <c r="C10" s="2" t="inlineStr">
        <is>
          <t>Partial Availability Handling</t>
        </is>
      </c>
      <c r="D10" s="2" t="inlineStr">
        <is>
          <t>Maintains operational control during partial network, endpoint, or component outages.</t>
        </is>
      </c>
      <c r="E10" s="2" t="inlineStr">
        <is>
          <t>High</t>
        </is>
      </c>
      <c r="F10" s="2" t="n">
        <v>4</v>
      </c>
      <c r="G10" s="2" t="inlineStr">
        <is>
          <t>Demo / Arquitectura</t>
        </is>
      </c>
      <c r="H10" s="2" t="inlineStr">
        <is>
          <t>Pruebas de resiliencia</t>
        </is>
      </c>
      <c r="I10" s="2" t="n"/>
      <c r="J10" s="2" t="n"/>
    </row>
    <row r="11">
      <c r="A11" s="2" t="inlineStr">
        <is>
          <t>RE-06</t>
        </is>
      </c>
      <c r="B11" s="2" t="inlineStr">
        <is>
          <t>Reliable</t>
        </is>
      </c>
      <c r="C11" s="2" t="inlineStr">
        <is>
          <t>Idempotency / Duplicate Handling</t>
        </is>
      </c>
      <c r="D11" s="2" t="inlineStr">
        <is>
          <t>Prevents duplicate transfers or safely controls repeated job execution.</t>
        </is>
      </c>
      <c r="E11" s="2" t="inlineStr">
        <is>
          <t>High</t>
        </is>
      </c>
      <c r="F11" s="2" t="n">
        <v>4</v>
      </c>
      <c r="G11" s="2" t="inlineStr">
        <is>
          <t>Functional / Demo</t>
        </is>
      </c>
      <c r="H11" s="2" t="inlineStr">
        <is>
          <t>Comportamiento documentado</t>
        </is>
      </c>
      <c r="I11" s="2" t="n"/>
      <c r="J11" s="2" t="n"/>
    </row>
    <row r="12">
      <c r="A12" s="2" t="inlineStr">
        <is>
          <t>AL-01</t>
        </is>
      </c>
      <c r="B12" s="2" t="inlineStr">
        <is>
          <t>Alarming</t>
        </is>
      </c>
      <c r="C12" s="2" t="inlineStr">
        <is>
          <t>Early Detection</t>
        </is>
      </c>
      <c r="D12" s="2" t="inlineStr">
        <is>
          <t>Detects anomalies and failures before they cause business impact.</t>
        </is>
      </c>
      <c r="E12" s="2" t="inlineStr">
        <is>
          <t>High</t>
        </is>
      </c>
      <c r="F12" s="2" t="n">
        <v>5</v>
      </c>
      <c r="G12" s="2" t="inlineStr">
        <is>
          <t>Demo</t>
        </is>
      </c>
      <c r="H12" s="2" t="inlineStr">
        <is>
          <t>Escenarios de alerta</t>
        </is>
      </c>
      <c r="I12" s="2" t="n"/>
      <c r="J12" s="2" t="n"/>
    </row>
    <row r="13">
      <c r="A13" s="2" t="inlineStr">
        <is>
          <t>AL-02</t>
        </is>
      </c>
      <c r="B13" s="2" t="inlineStr">
        <is>
          <t>Alarming</t>
        </is>
      </c>
      <c r="C13" s="2" t="inlineStr">
        <is>
          <t>Configurable Alerts</t>
        </is>
      </c>
      <c r="D13" s="2" t="inlineStr">
        <is>
          <t>Allows definition of alert rules, thresholds, events, and severity levels.</t>
        </is>
      </c>
      <c r="E13" s="2" t="inlineStr">
        <is>
          <t>High</t>
        </is>
      </c>
      <c r="F13" s="2" t="n">
        <v>4</v>
      </c>
      <c r="G13" s="2" t="inlineStr">
        <is>
          <t>Functional / Demo</t>
        </is>
      </c>
      <c r="H13" s="2" t="inlineStr">
        <is>
          <t>Catálogo de eventos y configuración</t>
        </is>
      </c>
      <c r="I13" s="2" t="n"/>
      <c r="J13" s="2" t="n"/>
    </row>
    <row r="14">
      <c r="A14" s="2" t="inlineStr">
        <is>
          <t>AL-03</t>
        </is>
      </c>
      <c r="B14" s="2" t="inlineStr">
        <is>
          <t>Alarming</t>
        </is>
      </c>
      <c r="C14" s="2" t="inlineStr">
        <is>
          <t>Multi-Channel Notification</t>
        </is>
      </c>
      <c r="D14" s="2" t="inlineStr">
        <is>
          <t>Supports notifications through required operational channels (e.g., email, webhook, Teams/Slack, etc.).</t>
        </is>
      </c>
      <c r="E14" s="2" t="inlineStr">
        <is>
          <t>Medium</t>
        </is>
      </c>
      <c r="F14" s="2" t="n">
        <v>3</v>
      </c>
      <c r="G14" s="2" t="inlineStr">
        <is>
          <t>Functional</t>
        </is>
      </c>
      <c r="H14" s="2" t="inlineStr">
        <is>
          <t>Lista de integraciones</t>
        </is>
      </c>
      <c r="I14" s="2" t="n"/>
      <c r="J14" s="2" t="n"/>
    </row>
    <row r="15">
      <c r="A15" s="2" t="inlineStr">
        <is>
          <t>AL-04</t>
        </is>
      </c>
      <c r="B15" s="2" t="inlineStr">
        <is>
          <t>Alarming</t>
        </is>
      </c>
      <c r="C15" s="2" t="inlineStr">
        <is>
          <t>Actionable Information</t>
        </is>
      </c>
      <c r="D15" s="2" t="inlineStr">
        <is>
          <t>Alerts provide enough context to identify the job, file, endpoint, error, and suggested action.</t>
        </is>
      </c>
      <c r="E15" s="2" t="inlineStr">
        <is>
          <t>High</t>
        </is>
      </c>
      <c r="F15" s="2" t="n">
        <v>4</v>
      </c>
      <c r="G15" s="2" t="inlineStr">
        <is>
          <t>Demo</t>
        </is>
      </c>
      <c r="H15" s="2" t="inlineStr">
        <is>
          <t>Ejemplos de alertas</t>
        </is>
      </c>
      <c r="I15" s="2" t="n"/>
      <c r="J15" s="2" t="n"/>
    </row>
    <row r="16">
      <c r="A16" s="2" t="inlineStr">
        <is>
          <t>AL-05</t>
        </is>
      </c>
      <c r="B16" s="2" t="inlineStr">
        <is>
          <t>Alarming</t>
        </is>
      </c>
      <c r="C16" s="2" t="inlineStr">
        <is>
          <t>Escalation</t>
        </is>
      </c>
      <c r="D16" s="2" t="inlineStr">
        <is>
          <t>Allows incidents to be escalated based on severity, time, or number of retries.</t>
        </is>
      </c>
      <c r="E16" s="2" t="inlineStr">
        <is>
          <t>Medium</t>
        </is>
      </c>
      <c r="F16" s="2" t="n">
        <v>3</v>
      </c>
      <c r="G16" s="2" t="inlineStr">
        <is>
          <t>Functional / Demo</t>
        </is>
      </c>
      <c r="H16" s="2" t="inlineStr">
        <is>
          <t>Flujos de escalamiento</t>
        </is>
      </c>
      <c r="I16" s="2" t="n"/>
      <c r="J16" s="2" t="n"/>
    </row>
    <row r="17">
      <c r="A17" s="2" t="inlineStr">
        <is>
          <t>SE-01</t>
        </is>
      </c>
      <c r="B17" s="2" t="inlineStr">
        <is>
          <t>Secure</t>
        </is>
      </c>
      <c r="C17" s="2" t="inlineStr">
        <is>
          <t>Access Control</t>
        </is>
      </c>
      <c r="D17" s="2" t="inlineStr">
        <is>
          <t>RBAC and least privilege for users, operators, and administrators.</t>
        </is>
      </c>
      <c r="E17" s="2" t="inlineStr">
        <is>
          <t>High</t>
        </is>
      </c>
      <c r="F17" s="2" t="n">
        <v>5</v>
      </c>
      <c r="G17" s="2" t="inlineStr">
        <is>
          <t>Functional / Demo</t>
        </is>
      </c>
      <c r="H17" s="2" t="inlineStr">
        <is>
          <t>Matriz de roles y permisos</t>
        </is>
      </c>
      <c r="I17" s="2" t="n"/>
      <c r="J17" s="2" t="n"/>
    </row>
    <row r="18">
      <c r="A18" s="2" t="inlineStr">
        <is>
          <t>SE-02</t>
        </is>
      </c>
      <c r="B18" s="2" t="inlineStr">
        <is>
          <t>Secure</t>
        </is>
      </c>
      <c r="C18" s="2" t="inlineStr">
        <is>
          <t>Secure Protocols</t>
        </is>
      </c>
      <c r="D18" s="2" t="inlineStr">
        <is>
          <t>Support for secure protocols such as SFTP, FTPS, HTTPS/HTTPS-based APIs, and other required protocols.</t>
        </is>
      </c>
      <c r="E18" s="2" t="inlineStr">
        <is>
          <t>High</t>
        </is>
      </c>
      <c r="F18" s="2" t="n">
        <v>5</v>
      </c>
      <c r="G18" s="2" t="inlineStr">
        <is>
          <t>Functional</t>
        </is>
      </c>
      <c r="H18" s="2" t="inlineStr">
        <is>
          <t>Matriz de protocolos</t>
        </is>
      </c>
      <c r="I18" s="2" t="n"/>
      <c r="J18" s="2" t="n"/>
    </row>
    <row r="19">
      <c r="A19" s="2" t="inlineStr">
        <is>
          <t>SE-03</t>
        </is>
      </c>
      <c r="B19" s="2" t="inlineStr">
        <is>
          <t>Secure</t>
        </is>
      </c>
      <c r="C19" s="2" t="inlineStr">
        <is>
          <t>Credential Management</t>
        </is>
      </c>
      <c r="D19" s="2" t="inlineStr">
        <is>
          <t>Secure storage and handling of credentials, keys, and secrets.</t>
        </is>
      </c>
      <c r="E19" s="2" t="inlineStr">
        <is>
          <t>High</t>
        </is>
      </c>
      <c r="F19" s="2" t="n">
        <v>5</v>
      </c>
      <c r="G19" s="2" t="inlineStr">
        <is>
          <t>Architecture / Demo</t>
        </is>
      </c>
      <c r="H19" s="2" t="inlineStr">
        <is>
          <t>Arquitectura de secretos</t>
        </is>
      </c>
      <c r="I19" s="2" t="n"/>
      <c r="J19" s="2" t="n"/>
    </row>
    <row r="20">
      <c r="A20" s="2" t="inlineStr">
        <is>
          <t>SE-04</t>
        </is>
      </c>
      <c r="B20" s="2" t="inlineStr">
        <is>
          <t>Secure</t>
        </is>
      </c>
      <c r="C20" s="2" t="inlineStr">
        <is>
          <t>Credential Non-Exposure</t>
        </is>
      </c>
      <c r="D20" s="2" t="inlineStr">
        <is>
          <t>Prevents secrets from being exposed in logs, interfaces, parameters, or configuration files.</t>
        </is>
      </c>
      <c r="E20" s="2" t="inlineStr">
        <is>
          <t>High</t>
        </is>
      </c>
      <c r="F20" s="2" t="n">
        <v>5</v>
      </c>
      <c r="G20" s="2" t="inlineStr">
        <is>
          <t>Demo / Test</t>
        </is>
      </c>
      <c r="H20" s="2" t="inlineStr">
        <is>
          <t>Revisión de logs y configuración</t>
        </is>
      </c>
      <c r="I20" s="2" t="n"/>
      <c r="J20" s="2" t="n"/>
    </row>
    <row r="21">
      <c r="A21" s="2" t="inlineStr">
        <is>
          <t>SE-05</t>
        </is>
      </c>
      <c r="B21" s="2" t="inlineStr">
        <is>
          <t>Secure</t>
        </is>
      </c>
      <c r="C21" s="2" t="inlineStr">
        <is>
          <t>Auditability</t>
        </is>
      </c>
      <c r="D21" s="2" t="inlineStr">
        <is>
          <t>Records who did what, when, for which job/file, and from where when applicable.</t>
        </is>
      </c>
      <c r="E21" s="2" t="inlineStr">
        <is>
          <t>High</t>
        </is>
      </c>
      <c r="F21" s="2" t="n">
        <v>5</v>
      </c>
      <c r="G21" s="2" t="inlineStr">
        <is>
          <t>Demo</t>
        </is>
      </c>
      <c r="H21" s="2" t="inlineStr">
        <is>
          <t>Ejemplo de audit trail</t>
        </is>
      </c>
      <c r="I21" s="2" t="n"/>
      <c r="J21" s="2" t="n"/>
    </row>
    <row r="22">
      <c r="A22" s="2" t="inlineStr">
        <is>
          <t>SE-06</t>
        </is>
      </c>
      <c r="B22" s="2" t="inlineStr">
        <is>
          <t>Secure</t>
        </is>
      </c>
      <c r="C22" s="2" t="inlineStr">
        <is>
          <t>Encryption in Transit</t>
        </is>
      </c>
      <c r="D22" s="2" t="inlineStr">
        <is>
          <t>Protects data during transfer using appropriate encryption.</t>
        </is>
      </c>
      <c r="E22" s="2" t="inlineStr">
        <is>
          <t>High</t>
        </is>
      </c>
      <c r="F22" s="2" t="n">
        <v>5</v>
      </c>
      <c r="G22" s="2" t="inlineStr">
        <is>
          <t>Architecture / Demo</t>
        </is>
      </c>
      <c r="H22" s="2" t="inlineStr">
        <is>
          <t>Configuración TLS/SFTP y estándares</t>
        </is>
      </c>
      <c r="I22" s="2" t="n"/>
      <c r="J22" s="2" t="n"/>
    </row>
    <row r="23">
      <c r="A23" s="2" t="inlineStr">
        <is>
          <t>SE-07</t>
        </is>
      </c>
      <c r="B23" s="2" t="inlineStr">
        <is>
          <t>Secure</t>
        </is>
      </c>
      <c r="C23" s="2" t="inlineStr">
        <is>
          <t>Encryption at Rest</t>
        </is>
      </c>
      <c r="D23" s="2" t="inlineStr">
        <is>
          <t>Protects stored files, configurations, and secrets when required.</t>
        </is>
      </c>
      <c r="E23" s="2" t="inlineStr">
        <is>
          <t>High</t>
        </is>
      </c>
      <c r="F23" s="2" t="n">
        <v>4</v>
      </c>
      <c r="G23" s="2" t="inlineStr">
        <is>
          <t>Architecture</t>
        </is>
      </c>
      <c r="H23" s="2" t="inlineStr">
        <is>
          <t>Diseño de almacenamiento</t>
        </is>
      </c>
      <c r="I23" s="2" t="n"/>
      <c r="J23" s="2" t="n"/>
    </row>
    <row r="24">
      <c r="A24" s="2" t="inlineStr">
        <is>
          <t>SE-08</t>
        </is>
      </c>
      <c r="B24" s="2" t="inlineStr">
        <is>
          <t>Secure</t>
        </is>
      </c>
      <c r="C24" s="2" t="inlineStr">
        <is>
          <t>Compliance and Retention</t>
        </is>
      </c>
      <c r="D24" s="2" t="inlineStr">
        <is>
          <t>Supports internal policies and regulatory security and retention requirements.</t>
        </is>
      </c>
      <c r="E24" s="2" t="inlineStr">
        <is>
          <t>High</t>
        </is>
      </c>
      <c r="F24" s="2" t="n">
        <v>4</v>
      </c>
      <c r="G24" s="2" t="inlineStr">
        <is>
          <t>Documentary / Documentation</t>
        </is>
      </c>
      <c r="H24" s="2" t="inlineStr">
        <is>
          <t>Certificaciones, políticas y controles</t>
        </is>
      </c>
      <c r="I24" s="2" t="n"/>
      <c r="J24" s="2" t="n"/>
    </row>
    <row r="25">
      <c r="A25" s="2" t="inlineStr">
        <is>
          <t>DT-01</t>
        </is>
      </c>
      <c r="B25" s="2" t="inlineStr">
        <is>
          <t>Data Transfer Consistency</t>
        </is>
      </c>
      <c r="C25" s="2" t="inlineStr">
        <is>
          <t>Complete Transfer</t>
        </is>
      </c>
      <c r="D25" s="2" t="inlineStr">
        <is>
          <t>Ensures the destination file is complete before marking the transfer as successful.</t>
        </is>
      </c>
      <c r="E25" s="2" t="inlineStr">
        <is>
          <t>High</t>
        </is>
      </c>
      <c r="F25" s="2" t="n">
        <v>5</v>
      </c>
      <c r="G25" s="2" t="inlineStr">
        <is>
          <t>Demo / Test</t>
        </is>
      </c>
      <c r="H25" s="2" t="inlineStr">
        <is>
          <t>Prueba con archivos grandes</t>
        </is>
      </c>
      <c r="I25" s="2" t="n"/>
      <c r="J25" s="2" t="n"/>
    </row>
    <row r="26">
      <c r="A26" s="2" t="inlineStr">
        <is>
          <t>DT-02</t>
        </is>
      </c>
      <c r="B26" s="2" t="inlineStr">
        <is>
          <t>Data Transfer Consistency</t>
        </is>
      </c>
      <c r="C26" s="2" t="inlineStr">
        <is>
          <t>Checksum Integrity Validation</t>
        </is>
      </c>
      <c r="D26" s="2" t="inlineStr">
        <is>
          <t>Allows integrity validation by comparing checksum/hash between source and destination.</t>
        </is>
      </c>
      <c r="E26" s="2" t="inlineStr">
        <is>
          <t>High</t>
        </is>
      </c>
      <c r="F26" s="2" t="n">
        <v>5</v>
      </c>
      <c r="G26" s="2" t="inlineStr">
        <is>
          <t>Demo</t>
        </is>
      </c>
      <c r="H26" s="2" t="inlineStr">
        <is>
          <t>Algoritmos soportados y prueba</t>
        </is>
      </c>
      <c r="I26" s="2" t="n"/>
      <c r="J26" s="2" t="n"/>
    </row>
    <row r="27">
      <c r="A27" s="2" t="inlineStr">
        <is>
          <t>DT-03</t>
        </is>
      </c>
      <c r="B27" s="2" t="inlineStr">
        <is>
          <t>Data Transfer Consistency</t>
        </is>
      </c>
      <c r="C27" s="2" t="inlineStr">
        <is>
          <t>File Resume</t>
        </is>
      </c>
      <c r="D27" s="2" t="inlineStr">
        <is>
          <t>Resumes partial transfers without corruption or data loss.</t>
        </is>
      </c>
      <c r="E27" s="2" t="inlineStr">
        <is>
          <t>High</t>
        </is>
      </c>
      <c r="F27" s="2" t="n">
        <v>5</v>
      </c>
      <c r="G27" s="2" t="inlineStr">
        <is>
          <t>Demo / Test</t>
        </is>
      </c>
      <c r="H27" s="2" t="inlineStr">
        <is>
          <t>Prueba de corte de red</t>
        </is>
      </c>
      <c r="I27" s="2" t="n"/>
      <c r="J27" s="2" t="n"/>
    </row>
    <row r="28">
      <c r="A28" s="2" t="inlineStr">
        <is>
          <t>DT-04</t>
        </is>
      </c>
      <c r="B28" s="2" t="inlineStr">
        <is>
          <t>Data Transfer Consistency</t>
        </is>
      </c>
      <c r="C28" s="2" t="inlineStr">
        <is>
          <t>Transfer Retry</t>
        </is>
      </c>
      <c r="D28" s="2" t="inlineStr">
        <is>
          <t>Automatically retries failed transfers according to a configurable policy.</t>
        </is>
      </c>
      <c r="E28" s="2" t="inlineStr">
        <is>
          <t>High</t>
        </is>
      </c>
      <c r="F28" s="2" t="n">
        <v>4</v>
      </c>
      <c r="G28" s="2" t="inlineStr">
        <is>
          <t>Demo</t>
        </is>
      </c>
      <c r="H28" s="2" t="inlineStr">
        <is>
          <t>Política de retry</t>
        </is>
      </c>
      <c r="I28" s="2" t="n"/>
      <c r="J28" s="2" t="n"/>
    </row>
    <row r="29">
      <c r="A29" s="2" t="inlineStr">
        <is>
          <t>DT-05</t>
        </is>
      </c>
      <c r="B29" s="2" t="inlineStr">
        <is>
          <t>Data Transfer Consistency</t>
        </is>
      </c>
      <c r="C29" s="2" t="inlineStr">
        <is>
          <t>Corruption Detection</t>
        </is>
      </c>
      <c r="D29" s="2" t="inlineStr">
        <is>
          <t>Detects incomplete or corrupted files before confirming success.</t>
        </is>
      </c>
      <c r="E29" s="2" t="inlineStr">
        <is>
          <t>High</t>
        </is>
      </c>
      <c r="F29" s="2" t="n">
        <v>5</v>
      </c>
      <c r="G29" s="2" t="inlineStr">
        <is>
          <t>Demo / Test</t>
        </is>
      </c>
      <c r="H29" s="2" t="inlineStr">
        <is>
          <t>Escenario de corrupción</t>
        </is>
      </c>
      <c r="I29" s="2" t="n"/>
      <c r="J29" s="2" t="n"/>
    </row>
    <row r="30">
      <c r="A30" s="2" t="inlineStr">
        <is>
          <t>DT-06</t>
        </is>
      </c>
      <c r="B30" s="2" t="inlineStr">
        <is>
          <t>Data Transfer Consistency</t>
        </is>
      </c>
      <c r="C30" s="2" t="inlineStr">
        <is>
          <t>Overwrite Control</t>
        </is>
      </c>
      <c r="D30" s="2" t="inlineStr">
        <is>
          <t>Allows behavior to be defined for existing files: overwrite, version, reject, or rename.</t>
        </is>
      </c>
      <c r="E30" s="2" t="inlineStr">
        <is>
          <t>Medium</t>
        </is>
      </c>
      <c r="F30" s="2" t="n">
        <v>3</v>
      </c>
      <c r="G30" s="2" t="inlineStr">
        <is>
          <t>Functional</t>
        </is>
      </c>
      <c r="H30" s="2" t="inlineStr">
        <is>
          <t>Opciones de destino</t>
        </is>
      </c>
      <c r="I30" s="2" t="n"/>
      <c r="J30" s="2" t="n"/>
    </row>
    <row r="31">
      <c r="A31" s="2" t="inlineStr">
        <is>
          <t>LO-01</t>
        </is>
      </c>
      <c r="B31" s="2" t="inlineStr">
        <is>
          <t>Logging</t>
        </is>
      </c>
      <c r="C31" s="2" t="inlineStr">
        <is>
          <t>Detailed Execution Logs</t>
        </is>
      </c>
      <c r="D31" s="2" t="inlineStr">
        <is>
          <t>Records start, end, duration, status, errors, and relevant events for each job.</t>
        </is>
      </c>
      <c r="E31" s="2" t="inlineStr">
        <is>
          <t>High</t>
        </is>
      </c>
      <c r="F31" s="2" t="n">
        <v>5</v>
      </c>
      <c r="G31" s="2" t="inlineStr">
        <is>
          <t>Demo</t>
        </is>
      </c>
      <c r="H31" s="2" t="inlineStr">
        <is>
          <t>Ejemplos de logs</t>
        </is>
      </c>
      <c r="I31" s="2" t="n"/>
      <c r="J31" s="2" t="n"/>
    </row>
    <row r="32">
      <c r="A32" s="2" t="inlineStr">
        <is>
          <t>LO-02</t>
        </is>
      </c>
      <c r="B32" s="2" t="inlineStr">
        <is>
          <t>Logging</t>
        </is>
      </c>
      <c r="C32" s="2" t="inlineStr">
        <is>
          <t>Detailed Transfer Logs</t>
        </is>
      </c>
      <c r="D32" s="2" t="inlineStr">
        <is>
          <t>Records files, source, destination, size, result, and transfer times.</t>
        </is>
      </c>
      <c r="E32" s="2" t="inlineStr">
        <is>
          <t>High</t>
        </is>
      </c>
      <c r="F32" s="2" t="n">
        <v>5</v>
      </c>
      <c r="G32" s="2" t="inlineStr">
        <is>
          <t>Demo</t>
        </is>
      </c>
      <c r="H32" s="2" t="inlineStr">
        <is>
          <t>Ejemplos de logs</t>
        </is>
      </c>
      <c r="I32" s="2" t="n"/>
      <c r="J32" s="2" t="n"/>
    </row>
    <row r="33">
      <c r="A33" s="2" t="inlineStr">
        <is>
          <t>LO-03</t>
        </is>
      </c>
      <c r="B33" s="2" t="inlineStr">
        <is>
          <t>Logging</t>
        </is>
      </c>
      <c r="C33" s="2" t="inlineStr">
        <is>
          <t>Log Persistence</t>
        </is>
      </c>
      <c r="D33" s="2" t="inlineStr">
        <is>
          <t>Retains logs for the required period and allows retention policies to be defined.</t>
        </is>
      </c>
      <c r="E33" s="2" t="inlineStr">
        <is>
          <t>High</t>
        </is>
      </c>
      <c r="F33" s="2" t="n">
        <v>4</v>
      </c>
      <c r="G33" s="2" t="inlineStr">
        <is>
          <t>Functional</t>
        </is>
      </c>
      <c r="H33" s="2" t="inlineStr">
        <is>
          <t>Configuración de retención</t>
        </is>
      </c>
      <c r="I33" s="2" t="n"/>
      <c r="J33" s="2" t="n"/>
    </row>
    <row r="34">
      <c r="A34" s="2" t="inlineStr">
        <is>
          <t>LO-04</t>
        </is>
      </c>
      <c r="B34" s="2" t="inlineStr">
        <is>
          <t>Logging</t>
        </is>
      </c>
      <c r="C34" s="2" t="inlineStr">
        <is>
          <t>Job Reports</t>
        </is>
      </c>
      <c r="D34" s="2" t="inlineStr">
        <is>
          <t>Generates clear execution and result reports for operations and auditing.</t>
        </is>
      </c>
      <c r="E34" s="2" t="inlineStr">
        <is>
          <t>Medium</t>
        </is>
      </c>
      <c r="F34" s="2" t="n">
        <v>3</v>
      </c>
      <c r="G34" s="2" t="inlineStr">
        <is>
          <t>Functional / Demo</t>
        </is>
      </c>
      <c r="H34" s="2" t="inlineStr">
        <is>
          <t>Ejemplos de reportes</t>
        </is>
      </c>
      <c r="I34" s="2" t="n"/>
      <c r="J34" s="2" t="n"/>
    </row>
    <row r="35">
      <c r="A35" s="2" t="inlineStr">
        <is>
          <t>LO-05</t>
        </is>
      </c>
      <c r="B35" s="2" t="inlineStr">
        <is>
          <t>Logging</t>
        </is>
      </c>
      <c r="C35" s="2" t="inlineStr">
        <is>
          <t>Search and Filtering</t>
        </is>
      </c>
      <c r="D35" s="2" t="inlineStr">
        <is>
          <t>Allows quick retrieval of executions, files, errors, and events.</t>
        </is>
      </c>
      <c r="E35" s="2" t="inlineStr">
        <is>
          <t>High</t>
        </is>
      </c>
      <c r="F35" s="2" t="n">
        <v>4</v>
      </c>
      <c r="G35" s="2" t="inlineStr">
        <is>
          <t>Demo</t>
        </is>
      </c>
      <c r="H35" s="2" t="inlineStr">
        <is>
          <t>Prueba de búsqueda</t>
        </is>
      </c>
      <c r="I35" s="2" t="n"/>
      <c r="J35" s="2" t="n"/>
    </row>
    <row r="36">
      <c r="A36" s="2" t="inlineStr">
        <is>
          <t>LO-06</t>
        </is>
      </c>
      <c r="B36" s="2" t="inlineStr">
        <is>
          <t>Logging</t>
        </is>
      </c>
      <c r="C36" s="2" t="inlineStr">
        <is>
          <t>Export / Integration</t>
        </is>
      </c>
      <c r="D36" s="2" t="inlineStr">
        <is>
          <t>Allows logs to be exported or sent to observability/SIEM platforms when applicable.</t>
        </is>
      </c>
      <c r="E36" s="2" t="inlineStr">
        <is>
          <t>Medium</t>
        </is>
      </c>
      <c r="F36" s="2" t="n">
        <v>3</v>
      </c>
      <c r="G36" s="2" t="inlineStr">
        <is>
          <t>Functional</t>
        </is>
      </c>
      <c r="H36" s="2" t="inlineStr">
        <is>
          <t>Integraciones y formatos</t>
        </is>
      </c>
      <c r="I36" s="2" t="n"/>
      <c r="J36" s="2" t="n"/>
    </row>
    <row r="37">
      <c r="A37" s="2" t="inlineStr">
        <is>
          <t>LO-07</t>
        </is>
      </c>
      <c r="B37" s="2" t="inlineStr">
        <is>
          <t>Logging</t>
        </is>
      </c>
      <c r="C37" s="2" t="inlineStr">
        <is>
          <t>Correlation and Traceability</t>
        </is>
      </c>
      <c r="D37" s="2" t="inlineStr">
        <is>
          <t>Allows an individual file/job to be traced from source to destination and correlates retries and errors.</t>
        </is>
      </c>
      <c r="E37" s="2" t="inlineStr">
        <is>
          <t>High</t>
        </is>
      </c>
      <c r="F37" s="2" t="n">
        <v>4</v>
      </c>
      <c r="G37" s="2" t="inlineStr">
        <is>
          <t>Demo</t>
        </is>
      </c>
      <c r="H37" s="2" t="inlineStr">
        <is>
          <t>Ejemplo de trazabilidad</t>
        </is>
      </c>
      <c r="I37" s="2" t="n"/>
      <c r="J37" s="2" t="n"/>
    </row>
  </sheetData>
  <autoFilter ref="A1:J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2" customWidth="1" min="3" max="3"/>
    <col width="10" customWidth="1" min="4" max="4"/>
    <col width="20" customWidth="1" min="5" max="5"/>
    <col width="35" customWidth="1" min="6" max="6"/>
    <col width="20" customWidth="1" min="7" max="7"/>
    <col width="35" customWidth="1" min="8" max="8"/>
    <col width="20" customWidth="1" min="9" max="9"/>
    <col width="35" customWidth="1" min="10" max="10"/>
    <col width="20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Criterion</t>
        </is>
      </c>
      <c r="D1" s="1" t="inlineStr">
        <is>
          <t>Weight (%)</t>
        </is>
      </c>
      <c r="E1" s="1" t="inlineStr">
        <is>
          <t>Solution A</t>
        </is>
      </c>
      <c r="F1" s="1" t="inlineStr">
        <is>
          <t>Evidence A</t>
        </is>
      </c>
      <c r="G1" s="1" t="inlineStr">
        <is>
          <t>Solution B</t>
        </is>
      </c>
      <c r="H1" s="1" t="inlineStr">
        <is>
          <t>Evidence B</t>
        </is>
      </c>
      <c r="I1" s="1" t="inlineStr">
        <is>
          <t>Solution C</t>
        </is>
      </c>
      <c r="J1" s="1" t="inlineStr">
        <is>
          <t>Evidence C</t>
        </is>
      </c>
      <c r="K1" s="1" t="inlineStr">
        <is>
          <t>Solution D</t>
        </is>
      </c>
      <c r="L1" s="1" t="inlineStr">
        <is>
          <t>Evidence D</t>
        </is>
      </c>
    </row>
    <row r="2">
      <c r="A2" s="2" t="inlineStr">
        <is>
          <t>SC-01</t>
        </is>
      </c>
      <c r="B2" s="2" t="inlineStr">
        <is>
          <t>Scalable</t>
        </is>
      </c>
      <c r="C2" s="2" t="inlineStr">
        <is>
          <t>Volume Scalability</t>
        </is>
      </c>
      <c r="D2" s="2" t="n">
        <v>5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SC-02</t>
        </is>
      </c>
      <c r="B3" s="2" t="inlineStr">
        <is>
          <t>Scalable</t>
        </is>
      </c>
      <c r="C3" s="2" t="inlineStr">
        <is>
          <t>Frequency Scalability</t>
        </is>
      </c>
      <c r="D3" s="2" t="n">
        <v>4</v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SC-03</t>
        </is>
      </c>
      <c r="B4" s="2" t="inlineStr">
        <is>
          <t>Scalable</t>
        </is>
      </c>
      <c r="C4" s="2" t="inlineStr">
        <is>
          <t>Complexity Scalability</t>
        </is>
      </c>
      <c r="D4" s="2" t="n">
        <v>3</v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SC-04</t>
        </is>
      </c>
      <c r="B5" s="2" t="inlineStr">
        <is>
          <t>Scalable</t>
        </is>
      </c>
      <c r="C5" s="2" t="inlineStr">
        <is>
          <t>Operational Scalability</t>
        </is>
      </c>
      <c r="D5" s="2" t="n">
        <v>4</v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RE-01</t>
        </is>
      </c>
      <c r="B6" s="2" t="inlineStr">
        <is>
          <t>Reliable</t>
        </is>
      </c>
      <c r="C6" s="2" t="inlineStr">
        <is>
          <t>Predictable Execution</t>
        </is>
      </c>
      <c r="D6" s="2" t="n">
        <v>5</v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RE-02</t>
        </is>
      </c>
      <c r="B7" s="2" t="inlineStr">
        <is>
          <t>Reliable</t>
        </is>
      </c>
      <c r="C7" s="2" t="inlineStr">
        <is>
          <t>Failure Handling</t>
        </is>
      </c>
      <c r="D7" s="2" t="n">
        <v>5</v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RE-03</t>
        </is>
      </c>
      <c r="B8" s="2" t="inlineStr">
        <is>
          <t>Reliable</t>
        </is>
      </c>
      <c r="C8" s="2" t="inlineStr">
        <is>
          <t>Transfer Resume</t>
        </is>
      </c>
      <c r="D8" s="2" t="n">
        <v>5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RE-04</t>
        </is>
      </c>
      <c r="B9" s="2" t="inlineStr">
        <is>
          <t>Reliable</t>
        </is>
      </c>
      <c r="C9" s="2" t="inlineStr">
        <is>
          <t>Configurable Retry</t>
        </is>
      </c>
      <c r="D9" s="2" t="n">
        <v>4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RE-05</t>
        </is>
      </c>
      <c r="B10" s="2" t="inlineStr">
        <is>
          <t>Reliable</t>
        </is>
      </c>
      <c r="C10" s="2" t="inlineStr">
        <is>
          <t>Partial Availability Handling</t>
        </is>
      </c>
      <c r="D10" s="2" t="n">
        <v>4</v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RE-06</t>
        </is>
      </c>
      <c r="B11" s="2" t="inlineStr">
        <is>
          <t>Reliable</t>
        </is>
      </c>
      <c r="C11" s="2" t="inlineStr">
        <is>
          <t>Idempotency / Duplicate Handling</t>
        </is>
      </c>
      <c r="D11" s="2" t="n">
        <v>4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AL-01</t>
        </is>
      </c>
      <c r="B12" s="2" t="inlineStr">
        <is>
          <t>Alarming</t>
        </is>
      </c>
      <c r="C12" s="2" t="inlineStr">
        <is>
          <t>Early Detection</t>
        </is>
      </c>
      <c r="D12" s="2" t="n">
        <v>5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AL-02</t>
        </is>
      </c>
      <c r="B13" s="2" t="inlineStr">
        <is>
          <t>Alarming</t>
        </is>
      </c>
      <c r="C13" s="2" t="inlineStr">
        <is>
          <t>Configurable Alerts</t>
        </is>
      </c>
      <c r="D13" s="2" t="n">
        <v>4</v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AL-03</t>
        </is>
      </c>
      <c r="B14" s="2" t="inlineStr">
        <is>
          <t>Alarming</t>
        </is>
      </c>
      <c r="C14" s="2" t="inlineStr">
        <is>
          <t>Multi-Channel Notification</t>
        </is>
      </c>
      <c r="D14" s="2" t="n">
        <v>3</v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inlineStr">
        <is>
          <t>AL-04</t>
        </is>
      </c>
      <c r="B15" s="2" t="inlineStr">
        <is>
          <t>Alarming</t>
        </is>
      </c>
      <c r="C15" s="2" t="inlineStr">
        <is>
          <t>Actionable Information</t>
        </is>
      </c>
      <c r="D15" s="2" t="n">
        <v>4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AL-05</t>
        </is>
      </c>
      <c r="B16" s="2" t="inlineStr">
        <is>
          <t>Alarming</t>
        </is>
      </c>
      <c r="C16" s="2" t="inlineStr">
        <is>
          <t>Escalation</t>
        </is>
      </c>
      <c r="D16" s="2" t="n">
        <v>3</v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SE-01</t>
        </is>
      </c>
      <c r="B17" s="2" t="inlineStr">
        <is>
          <t>Secure</t>
        </is>
      </c>
      <c r="C17" s="2" t="inlineStr">
        <is>
          <t>Access Control</t>
        </is>
      </c>
      <c r="D17" s="2" t="n">
        <v>5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inlineStr">
        <is>
          <t>SE-02</t>
        </is>
      </c>
      <c r="B18" s="2" t="inlineStr">
        <is>
          <t>Secure</t>
        </is>
      </c>
      <c r="C18" s="2" t="inlineStr">
        <is>
          <t>Secure Protocols</t>
        </is>
      </c>
      <c r="D18" s="2" t="n">
        <v>5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2" t="inlineStr">
        <is>
          <t>SE-03</t>
        </is>
      </c>
      <c r="B19" s="2" t="inlineStr">
        <is>
          <t>Secure</t>
        </is>
      </c>
      <c r="C19" s="2" t="inlineStr">
        <is>
          <t>Credential Management</t>
        </is>
      </c>
      <c r="D19" s="2" t="n">
        <v>5</v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2" t="inlineStr">
        <is>
          <t>SE-04</t>
        </is>
      </c>
      <c r="B20" s="2" t="inlineStr">
        <is>
          <t>Secure</t>
        </is>
      </c>
      <c r="C20" s="2" t="inlineStr">
        <is>
          <t>Credential Non-Exposure</t>
        </is>
      </c>
      <c r="D20" s="2" t="n">
        <v>5</v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2" t="inlineStr">
        <is>
          <t>SE-05</t>
        </is>
      </c>
      <c r="B21" s="2" t="inlineStr">
        <is>
          <t>Secure</t>
        </is>
      </c>
      <c r="C21" s="2" t="inlineStr">
        <is>
          <t>Auditability</t>
        </is>
      </c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2" t="inlineStr">
        <is>
          <t>SE-06</t>
        </is>
      </c>
      <c r="B22" s="2" t="inlineStr">
        <is>
          <t>Secure</t>
        </is>
      </c>
      <c r="C22" s="2" t="inlineStr">
        <is>
          <t>Encryption in Transit</t>
        </is>
      </c>
      <c r="D22" s="2" t="n">
        <v>5</v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2" t="inlineStr">
        <is>
          <t>SE-07</t>
        </is>
      </c>
      <c r="B23" s="2" t="inlineStr">
        <is>
          <t>Secure</t>
        </is>
      </c>
      <c r="C23" s="2" t="inlineStr">
        <is>
          <t>Encryption at Rest</t>
        </is>
      </c>
      <c r="D23" s="2" t="n">
        <v>4</v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2" t="inlineStr">
        <is>
          <t>SE-08</t>
        </is>
      </c>
      <c r="B24" s="2" t="inlineStr">
        <is>
          <t>Secure</t>
        </is>
      </c>
      <c r="C24" s="2" t="inlineStr">
        <is>
          <t>Compliance and Retention</t>
        </is>
      </c>
      <c r="D24" s="2" t="n">
        <v>4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2" t="inlineStr">
        <is>
          <t>DT-01</t>
        </is>
      </c>
      <c r="B25" s="2" t="inlineStr">
        <is>
          <t>Data Transfer Consistency</t>
        </is>
      </c>
      <c r="C25" s="2" t="inlineStr">
        <is>
          <t>Complete Transfer</t>
        </is>
      </c>
      <c r="D25" s="2" t="n">
        <v>5</v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inlineStr">
        <is>
          <t>DT-02</t>
        </is>
      </c>
      <c r="B26" s="2" t="inlineStr">
        <is>
          <t>Data Transfer Consistency</t>
        </is>
      </c>
      <c r="C26" s="2" t="inlineStr">
        <is>
          <t>Checksum Integrity Validation</t>
        </is>
      </c>
      <c r="D26" s="2" t="n">
        <v>5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inlineStr">
        <is>
          <t>DT-03</t>
        </is>
      </c>
      <c r="B27" s="2" t="inlineStr">
        <is>
          <t>Data Transfer Consistency</t>
        </is>
      </c>
      <c r="C27" s="2" t="inlineStr">
        <is>
          <t>File Resume</t>
        </is>
      </c>
      <c r="D27" s="2" t="n">
        <v>5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2" t="inlineStr">
        <is>
          <t>DT-04</t>
        </is>
      </c>
      <c r="B28" s="2" t="inlineStr">
        <is>
          <t>Data Transfer Consistency</t>
        </is>
      </c>
      <c r="C28" s="2" t="inlineStr">
        <is>
          <t>Transfer Retry</t>
        </is>
      </c>
      <c r="D28" s="2" t="n">
        <v>4</v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inlineStr">
        <is>
          <t>DT-05</t>
        </is>
      </c>
      <c r="B29" s="2" t="inlineStr">
        <is>
          <t>Data Transfer Consistency</t>
        </is>
      </c>
      <c r="C29" s="2" t="inlineStr">
        <is>
          <t>Corruption Detection</t>
        </is>
      </c>
      <c r="D29" s="2" t="n">
        <v>5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inlineStr">
        <is>
          <t>DT-06</t>
        </is>
      </c>
      <c r="B30" s="2" t="inlineStr">
        <is>
          <t>Data Transfer Consistency</t>
        </is>
      </c>
      <c r="C30" s="2" t="inlineStr">
        <is>
          <t>Overwrite Control</t>
        </is>
      </c>
      <c r="D30" s="2" t="n">
        <v>3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2" t="inlineStr">
        <is>
          <t>LO-01</t>
        </is>
      </c>
      <c r="B31" s="2" t="inlineStr">
        <is>
          <t>Logging</t>
        </is>
      </c>
      <c r="C31" s="2" t="inlineStr">
        <is>
          <t>Detailed Execution Logs</t>
        </is>
      </c>
      <c r="D31" s="2" t="n">
        <v>5</v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</row>
    <row r="32">
      <c r="A32" s="2" t="inlineStr">
        <is>
          <t>LO-02</t>
        </is>
      </c>
      <c r="B32" s="2" t="inlineStr">
        <is>
          <t>Logging</t>
        </is>
      </c>
      <c r="C32" s="2" t="inlineStr">
        <is>
          <t>Detailed Transfer Logs</t>
        </is>
      </c>
      <c r="D32" s="2" t="n">
        <v>5</v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2" t="inlineStr">
        <is>
          <t>LO-03</t>
        </is>
      </c>
      <c r="B33" s="2" t="inlineStr">
        <is>
          <t>Logging</t>
        </is>
      </c>
      <c r="C33" s="2" t="inlineStr">
        <is>
          <t>Log Persistence</t>
        </is>
      </c>
      <c r="D33" s="2" t="n">
        <v>4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</row>
    <row r="34">
      <c r="A34" s="2" t="inlineStr">
        <is>
          <t>LO-04</t>
        </is>
      </c>
      <c r="B34" s="2" t="inlineStr">
        <is>
          <t>Logging</t>
        </is>
      </c>
      <c r="C34" s="2" t="inlineStr">
        <is>
          <t>Job Reports</t>
        </is>
      </c>
      <c r="D34" s="2" t="n">
        <v>3</v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>
      <c r="A35" s="2" t="inlineStr">
        <is>
          <t>LO-05</t>
        </is>
      </c>
      <c r="B35" s="2" t="inlineStr">
        <is>
          <t>Logging</t>
        </is>
      </c>
      <c r="C35" s="2" t="inlineStr">
        <is>
          <t>Search and Filtering</t>
        </is>
      </c>
      <c r="D35" s="2" t="n">
        <v>4</v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</row>
    <row r="36">
      <c r="A36" s="2" t="inlineStr">
        <is>
          <t>LO-06</t>
        </is>
      </c>
      <c r="B36" s="2" t="inlineStr">
        <is>
          <t>Logging</t>
        </is>
      </c>
      <c r="C36" s="2" t="inlineStr">
        <is>
          <t>Export / Integration</t>
        </is>
      </c>
      <c r="D36" s="2" t="n">
        <v>3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2" t="inlineStr">
        <is>
          <t>LO-07</t>
        </is>
      </c>
      <c r="B37" s="2" t="inlineStr">
        <is>
          <t>Logging</t>
        </is>
      </c>
      <c r="C37" s="2" t="inlineStr">
        <is>
          <t>Correlation and Traceability</t>
        </is>
      </c>
      <c r="D37" s="2" t="n">
        <v>4</v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</row>
  </sheetData>
  <autoFilter ref="A1:L37"/>
  <dataValidations count="1">
    <dataValidation sqref="E2:E37 G2:G37 I2:I37 K2:K37" showDropDown="0" showInputMessage="0" showErrorMessage="0" allowBlank="1" errorTitle="Puntuación inválida" error="La puntuación debe ser un número entero entre 1 y 5.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5" customWidth="1" min="2" max="2"/>
  </cols>
  <sheetData>
    <row r="1">
      <c r="A1" s="1" t="inlineStr">
        <is>
          <t>Score</t>
        </is>
      </c>
      <c r="B1" s="1" t="inlineStr">
        <is>
          <t>Meaning</t>
        </is>
      </c>
    </row>
    <row r="2">
      <c r="A2" s="2" t="n">
        <v>1</v>
      </c>
      <c r="B2" s="2" t="inlineStr">
        <is>
          <t>Does not meet / functionality unavailable</t>
        </is>
      </c>
    </row>
    <row r="3">
      <c r="A3" s="2" t="n">
        <v>2</v>
      </c>
      <c r="B3" s="2" t="inlineStr">
        <is>
          <t>Partially meets / requires significant workaround</t>
        </is>
      </c>
    </row>
    <row r="4">
      <c r="A4" s="2" t="n">
        <v>3</v>
      </c>
      <c r="B4" s="2" t="inlineStr">
        <is>
          <t>Meets basic requirements</t>
        </is>
      </c>
    </row>
    <row r="5">
      <c r="A5" s="2" t="n">
        <v>4</v>
      </c>
      <c r="B5" s="2" t="inlineStr">
        <is>
          <t>Meets requirements well / mature functionality</t>
        </is>
      </c>
    </row>
    <row r="6">
      <c r="A6" s="2" t="n">
        <v>5</v>
      </c>
      <c r="B6" s="2" t="inlineStr">
        <is>
          <t>Fully meets requirements / excellent and demonstrated functionality</t>
        </is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Category</t>
        </is>
      </c>
      <c r="B1" s="1" t="inlineStr">
        <is>
          <t>Suggested Weight (%)</t>
        </is>
      </c>
      <c r="C1" s="1" t="inlineStr">
        <is>
          <t>Solution A Result</t>
        </is>
      </c>
      <c r="D1" s="1" t="inlineStr">
        <is>
          <t>Solution B Result</t>
        </is>
      </c>
      <c r="E1" s="1" t="inlineStr">
        <is>
          <t>Solution C Result</t>
        </is>
      </c>
      <c r="F1" s="1" t="inlineStr">
        <is>
          <t>Solution D Result</t>
        </is>
      </c>
    </row>
    <row r="2">
      <c r="A2" s="2" t="inlineStr">
        <is>
          <t>Scalable</t>
        </is>
      </c>
      <c r="B2" s="2" t="n">
        <v>16</v>
      </c>
      <c r="C2" s="3">
        <f>IF((IF(E2&lt;&gt;"",$D2,0)+IF(E3&lt;&gt;"",$D3,0)+IF(E4&lt;&gt;"",$D4,0)+IF(E5&lt;&gt;"",$D5,0))=0,"",(IFERROR(E2*$D2,0)+IFERROR(E3*$D3,0)+IFERROR(E4*$D4,0)+IFERROR(E5*$D5,0))/(IF(E2&lt;&gt;"",$D2,0)+IF(E3&lt;&gt;"",$D3,0)+IF(E4&lt;&gt;"",$D4,0)+IF(E5&lt;&gt;"",$D5,0)))</f>
        <v/>
      </c>
      <c r="D2" s="3">
        <f>IF((IF(G2&lt;&gt;"",$D2,0)+IF(G3&lt;&gt;"",$D3,0)+IF(G4&lt;&gt;"",$D4,0)+IF(G5&lt;&gt;"",$D5,0))=0,"",(IFERROR(G2*$D2,0)+IFERROR(G3*$D3,0)+IFERROR(G4*$D4,0)+IFERROR(G5*$D5,0))/(IF(G2&lt;&gt;"",$D2,0)+IF(G3&lt;&gt;"",$D3,0)+IF(G4&lt;&gt;"",$D4,0)+IF(G5&lt;&gt;"",$D5,0)))</f>
        <v/>
      </c>
      <c r="E2" s="3">
        <f>IF((IF(I2&lt;&gt;"",$D2,0)+IF(I3&lt;&gt;"",$D3,0)+IF(I4&lt;&gt;"",$D4,0)+IF(I5&lt;&gt;"",$D5,0))=0,"",(IFERROR(I2*$D2,0)+IFERROR(I3*$D3,0)+IFERROR(I4*$D4,0)+IFERROR(I5*$D5,0))/(IF(I2&lt;&gt;"",$D2,0)+IF(I3&lt;&gt;"",$D3,0)+IF(I4&lt;&gt;"",$D4,0)+IF(I5&lt;&gt;"",$D5,0)))</f>
        <v/>
      </c>
      <c r="F2" s="3">
        <f>IF((IF(K2&lt;&gt;"",$D2,0)+IF(K3&lt;&gt;"",$D3,0)+IF(K4&lt;&gt;"",$D4,0)+IF(K5&lt;&gt;"",$D5,0))=0,"",(IFERROR(K2*$D2,0)+IFERROR(K3*$D3,0)+IFERROR(K4*$D4,0)+IFERROR(K5*$D5,0))/(IF(K2&lt;&gt;"",$D2,0)+IF(K3&lt;&gt;"",$D3,0)+IF(K4&lt;&gt;"",$D4,0)+IF(K5&lt;&gt;"",$D5,0)))</f>
        <v/>
      </c>
    </row>
    <row r="3">
      <c r="A3" s="2" t="inlineStr">
        <is>
          <t>Reliable</t>
        </is>
      </c>
      <c r="B3" s="2" t="n">
        <v>20</v>
      </c>
      <c r="C3" s="3">
        <f>IF((IF(E6&lt;&gt;"",$D6,0)+IF(E7&lt;&gt;"",$D7,0)+IF(E8&lt;&gt;"",$D8,0)+IF(E9&lt;&gt;"",$D9,0)+IF(E10&lt;&gt;"",$D10,0)+IF(E11&lt;&gt;"",$D11,0))=0,"",(IFERROR(E6*$D6,0)+IFERROR(E7*$D7,0)+IFERROR(E8*$D8,0)+IFERROR(E9*$D9,0)+IFERROR(E10*$D10,0)+IFERROR(E11*$D11,0))/(IF(E6&lt;&gt;"",$D6,0)+IF(E7&lt;&gt;"",$D7,0)+IF(E8&lt;&gt;"",$D8,0)+IF(E9&lt;&gt;"",$D9,0)+IF(E10&lt;&gt;"",$D10,0)+IF(E11&lt;&gt;"",$D11,0)))</f>
        <v/>
      </c>
      <c r="D3" s="3">
        <f>IF((IF(G6&lt;&gt;"",$D6,0)+IF(G7&lt;&gt;"",$D7,0)+IF(G8&lt;&gt;"",$D8,0)+IF(G9&lt;&gt;"",$D9,0)+IF(G10&lt;&gt;"",$D10,0)+IF(G11&lt;&gt;"",$D11,0))=0,"",(IFERROR(G6*$D6,0)+IFERROR(G7*$D7,0)+IFERROR(G8*$D8,0)+IFERROR(G9*$D9,0)+IFERROR(G10*$D10,0)+IFERROR(G11*$D11,0))/(IF(G6&lt;&gt;"",$D6,0)+IF(G7&lt;&gt;"",$D7,0)+IF(G8&lt;&gt;"",$D8,0)+IF(G9&lt;&gt;"",$D9,0)+IF(G10&lt;&gt;"",$D10,0)+IF(G11&lt;&gt;"",$D11,0)))</f>
        <v/>
      </c>
      <c r="E3" s="3">
        <f>IF((IF(I6&lt;&gt;"",$D6,0)+IF(I7&lt;&gt;"",$D7,0)+IF(I8&lt;&gt;"",$D8,0)+IF(I9&lt;&gt;"",$D9,0)+IF(I10&lt;&gt;"",$D10,0)+IF(I11&lt;&gt;"",$D11,0))=0,"",(IFERROR(I6*$D6,0)+IFERROR(I7*$D7,0)+IFERROR(I8*$D8,0)+IFERROR(I9*$D9,0)+IFERROR(I10*$D10,0)+IFERROR(I11*$D11,0))/(IF(I6&lt;&gt;"",$D6,0)+IF(I7&lt;&gt;"",$D7,0)+IF(I8&lt;&gt;"",$D8,0)+IF(I9&lt;&gt;"",$D9,0)+IF(I10&lt;&gt;"",$D10,0)+IF(I11&lt;&gt;"",$D11,0)))</f>
        <v/>
      </c>
      <c r="F3" s="3">
        <f>IF((IF(K6&lt;&gt;"",$D6,0)+IF(K7&lt;&gt;"",$D7,0)+IF(K8&lt;&gt;"",$D8,0)+IF(K9&lt;&gt;"",$D9,0)+IF(K10&lt;&gt;"",$D10,0)+IF(K11&lt;&gt;"",$D11,0))=0,"",(IFERROR(K6*$D6,0)+IFERROR(K7*$D7,0)+IFERROR(K8*$D8,0)+IFERROR(K9*$D9,0)+IFERROR(K10*$D10,0)+IFERROR(K11*$D11,0))/(IF(K6&lt;&gt;"",$D6,0)+IF(K7&lt;&gt;"",$D7,0)+IF(K8&lt;&gt;"",$D8,0)+IF(K9&lt;&gt;"",$D9,0)+IF(K10&lt;&gt;"",$D10,0)+IF(K11&lt;&gt;"",$D11,0)))</f>
        <v/>
      </c>
    </row>
    <row r="4">
      <c r="A4" s="2" t="inlineStr">
        <is>
          <t>Alarming</t>
        </is>
      </c>
      <c r="B4" s="2" t="n">
        <v>15</v>
      </c>
      <c r="C4" s="3">
        <f>IF((IF(E12&lt;&gt;"",$D12,0)+IF(E13&lt;&gt;"",$D13,0)+IF(E14&lt;&gt;"",$D14,0)+IF(E15&lt;&gt;"",$D15,0)+IF(E16&lt;&gt;"",$D16,0))=0,"",(IFERROR(E12*$D12,0)+IFERROR(E13*$D13,0)+IFERROR(E14*$D14,0)+IFERROR(E15*$D15,0)+IFERROR(E16*$D16,0))/(IF(E12&lt;&gt;"",$D12,0)+IF(E13&lt;&gt;"",$D13,0)+IF(E14&lt;&gt;"",$D14,0)+IF(E15&lt;&gt;"",$D15,0)+IF(E16&lt;&gt;"",$D16,0)))</f>
        <v/>
      </c>
      <c r="D4" s="3">
        <f>IF((IF(G12&lt;&gt;"",$D12,0)+IF(G13&lt;&gt;"",$D13,0)+IF(G14&lt;&gt;"",$D14,0)+IF(G15&lt;&gt;"",$D15,0)+IF(G16&lt;&gt;"",$D16,0))=0,"",(IFERROR(G12*$D12,0)+IFERROR(G13*$D13,0)+IFERROR(G14*$D14,0)+IFERROR(G15*$D15,0)+IFERROR(G16*$D16,0))/(IF(G12&lt;&gt;"",$D12,0)+IF(G13&lt;&gt;"",$D13,0)+IF(G14&lt;&gt;"",$D14,0)+IF(G15&lt;&gt;"",$D15,0)+IF(G16&lt;&gt;"",$D16,0)))</f>
        <v/>
      </c>
      <c r="E4" s="3">
        <f>IF((IF(I12&lt;&gt;"",$D12,0)+IF(I13&lt;&gt;"",$D13,0)+IF(I14&lt;&gt;"",$D14,0)+IF(I15&lt;&gt;"",$D15,0)+IF(I16&lt;&gt;"",$D16,0))=0,"",(IFERROR(I12*$D12,0)+IFERROR(I13*$D13,0)+IFERROR(I14*$D14,0)+IFERROR(I15*$D15,0)+IFERROR(I16*$D16,0))/(IF(I12&lt;&gt;"",$D12,0)+IF(I13&lt;&gt;"",$D13,0)+IF(I14&lt;&gt;"",$D14,0)+IF(I15&lt;&gt;"",$D15,0)+IF(I16&lt;&gt;"",$D16,0)))</f>
        <v/>
      </c>
      <c r="F4" s="3">
        <f>IF((IF(K12&lt;&gt;"",$D12,0)+IF(K13&lt;&gt;"",$D13,0)+IF(K14&lt;&gt;"",$D14,0)+IF(K15&lt;&gt;"",$D15,0)+IF(K16&lt;&gt;"",$D16,0))=0,"",(IFERROR(K12*$D12,0)+IFERROR(K13*$D13,0)+IFERROR(K14*$D14,0)+IFERROR(K15*$D15,0)+IFERROR(K16*$D16,0))/(IF(K12&lt;&gt;"",$D12,0)+IF(K13&lt;&gt;"",$D13,0)+IF(K14&lt;&gt;"",$D14,0)+IF(K15&lt;&gt;"",$D15,0)+IF(K16&lt;&gt;"",$D16,0)))</f>
        <v/>
      </c>
    </row>
    <row r="5">
      <c r="A5" s="2" t="inlineStr">
        <is>
          <t>Secure</t>
        </is>
      </c>
      <c r="B5" s="2" t="n">
        <v>25</v>
      </c>
      <c r="C5" s="3">
        <f>IF((IF(E17&lt;&gt;"",$D17,0)+IF(E18&lt;&gt;"",$D18,0)+IF(E19&lt;&gt;"",$D19,0)+IF(E20&lt;&gt;"",$D20,0)+IF(E21&lt;&gt;"",$D21,0)+IF(E22&lt;&gt;"",$D22,0)+IF(E23&lt;&gt;"",$D23,0)+IF(E24&lt;&gt;"",$D24,0))=0,"",(IFERROR(E17*$D17,0)+IFERROR(E18*$D18,0)+IFERROR(E19*$D19,0)+IFERROR(E20*$D20,0)+IFERROR(E21*$D21,0)+IFERROR(E22*$D22,0)+IFERROR(E23*$D23,0)+IFERROR(E24*$D24,0))/(IF(E17&lt;&gt;"",$D17,0)+IF(E18&lt;&gt;"",$D18,0)+IF(E19&lt;&gt;"",$D19,0)+IF(E20&lt;&gt;"",$D20,0)+IF(E21&lt;&gt;"",$D21,0)+IF(E22&lt;&gt;"",$D22,0)+IF(E23&lt;&gt;"",$D23,0)+IF(E24&lt;&gt;"",$D24,0)))</f>
        <v/>
      </c>
      <c r="D5" s="3">
        <f>IF((IF(G17&lt;&gt;"",$D17,0)+IF(G18&lt;&gt;"",$D18,0)+IF(G19&lt;&gt;"",$D19,0)+IF(G20&lt;&gt;"",$D20,0)+IF(G21&lt;&gt;"",$D21,0)+IF(G22&lt;&gt;"",$D22,0)+IF(G23&lt;&gt;"",$D23,0)+IF(G24&lt;&gt;"",$D24,0))=0,"",(IFERROR(G17*$D17,0)+IFERROR(G18*$D18,0)+IFERROR(G19*$D19,0)+IFERROR(G20*$D20,0)+IFERROR(G21*$D21,0)+IFERROR(G22*$D22,0)+IFERROR(G23*$D23,0)+IFERROR(G24*$D24,0))/(IF(G17&lt;&gt;"",$D17,0)+IF(G18&lt;&gt;"",$D18,0)+IF(G19&lt;&gt;"",$D19,0)+IF(G20&lt;&gt;"",$D20,0)+IF(G21&lt;&gt;"",$D21,0)+IF(G22&lt;&gt;"",$D22,0)+IF(G23&lt;&gt;"",$D23,0)+IF(G24&lt;&gt;"",$D24,0)))</f>
        <v/>
      </c>
      <c r="E5" s="3">
        <f>IF((IF(I17&lt;&gt;"",$D17,0)+IF(I18&lt;&gt;"",$D18,0)+IF(I19&lt;&gt;"",$D19,0)+IF(I20&lt;&gt;"",$D20,0)+IF(I21&lt;&gt;"",$D21,0)+IF(I22&lt;&gt;"",$D22,0)+IF(I23&lt;&gt;"",$D23,0)+IF(I24&lt;&gt;"",$D24,0))=0,"",(IFERROR(I17*$D17,0)+IFERROR(I18*$D18,0)+IFERROR(I19*$D19,0)+IFERROR(I20*$D20,0)+IFERROR(I21*$D21,0)+IFERROR(I22*$D22,0)+IFERROR(I23*$D23,0)+IFERROR(I24*$D24,0))/(IF(I17&lt;&gt;"",$D17,0)+IF(I18&lt;&gt;"",$D18,0)+IF(I19&lt;&gt;"",$D19,0)+IF(I20&lt;&gt;"",$D20,0)+IF(I21&lt;&gt;"",$D21,0)+IF(I22&lt;&gt;"",$D22,0)+IF(I23&lt;&gt;"",$D23,0)+IF(I24&lt;&gt;"",$D24,0)))</f>
        <v/>
      </c>
      <c r="F5" s="3">
        <f>IF((IF(K17&lt;&gt;"",$D17,0)+IF(K18&lt;&gt;"",$D18,0)+IF(K19&lt;&gt;"",$D19,0)+IF(K20&lt;&gt;"",$D20,0)+IF(K21&lt;&gt;"",$D21,0)+IF(K22&lt;&gt;"",$D22,0)+IF(K23&lt;&gt;"",$D23,0)+IF(K24&lt;&gt;"",$D24,0))=0,"",(IFERROR(K17*$D17,0)+IFERROR(K18*$D18,0)+IFERROR(K19*$D19,0)+IFERROR(K20*$D20,0)+IFERROR(K21*$D21,0)+IFERROR(K22*$D22,0)+IFERROR(K23*$D23,0)+IFERROR(K24*$D24,0))/(IF(K17&lt;&gt;"",$D17,0)+IF(K18&lt;&gt;"",$D18,0)+IF(K19&lt;&gt;"",$D19,0)+IF(K20&lt;&gt;"",$D20,0)+IF(K21&lt;&gt;"",$D21,0)+IF(K22&lt;&gt;"",$D22,0)+IF(K23&lt;&gt;"",$D23,0)+IF(K24&lt;&gt;"",$D24,0)))</f>
        <v/>
      </c>
    </row>
    <row r="6">
      <c r="A6" s="2" t="inlineStr">
        <is>
          <t>Data Transfer Consistency</t>
        </is>
      </c>
      <c r="B6" s="2" t="n">
        <v>14</v>
      </c>
      <c r="C6" s="3">
        <f>IF((IF(E25&lt;&gt;"",$D25,0)+IF(E26&lt;&gt;"",$D26,0)+IF(E27&lt;&gt;"",$D27,0)+IF(E28&lt;&gt;"",$D28,0)+IF(E29&lt;&gt;"",$D29,0)+IF(E30&lt;&gt;"",$D30,0))=0,"",(IFERROR(E25*$D25,0)+IFERROR(E26*$D26,0)+IFERROR(E27*$D27,0)+IFERROR(E28*$D28,0)+IFERROR(E29*$D29,0)+IFERROR(E30*$D30,0))/(IF(E25&lt;&gt;"",$D25,0)+IF(E26&lt;&gt;"",$D26,0)+IF(E27&lt;&gt;"",$D27,0)+IF(E28&lt;&gt;"",$D28,0)+IF(E29&lt;&gt;"",$D29,0)+IF(E30&lt;&gt;"",$D30,0)))</f>
        <v/>
      </c>
      <c r="D6" s="3">
        <f>IF((IF(G25&lt;&gt;"",$D25,0)+IF(G26&lt;&gt;"",$D26,0)+IF(G27&lt;&gt;"",$D27,0)+IF(G28&lt;&gt;"",$D28,0)+IF(G29&lt;&gt;"",$D29,0)+IF(G30&lt;&gt;"",$D30,0))=0,"",(IFERROR(G25*$D25,0)+IFERROR(G26*$D26,0)+IFERROR(G27*$D27,0)+IFERROR(G28*$D28,0)+IFERROR(G29*$D29,0)+IFERROR(G30*$D30,0))/(IF(G25&lt;&gt;"",$D25,0)+IF(G26&lt;&gt;"",$D26,0)+IF(G27&lt;&gt;"",$D27,0)+IF(G28&lt;&gt;"",$D28,0)+IF(G29&lt;&gt;"",$D29,0)+IF(G30&lt;&gt;"",$D30,0)))</f>
        <v/>
      </c>
      <c r="E6" s="3">
        <f>IF((IF(I25&lt;&gt;"",$D25,0)+IF(I26&lt;&gt;"",$D26,0)+IF(I27&lt;&gt;"",$D27,0)+IF(I28&lt;&gt;"",$D28,0)+IF(I29&lt;&gt;"",$D29,0)+IF(I30&lt;&gt;"",$D30,0))=0,"",(IFERROR(I25*$D25,0)+IFERROR(I26*$D26,0)+IFERROR(I27*$D27,0)+IFERROR(I28*$D28,0)+IFERROR(I29*$D29,0)+IFERROR(I30*$D30,0))/(IF(I25&lt;&gt;"",$D25,0)+IF(I26&lt;&gt;"",$D26,0)+IF(I27&lt;&gt;"",$D27,0)+IF(I28&lt;&gt;"",$D28,0)+IF(I29&lt;&gt;"",$D29,0)+IF(I30&lt;&gt;"",$D30,0)))</f>
        <v/>
      </c>
      <c r="F6" s="3">
        <f>IF((IF(K25&lt;&gt;"",$D25,0)+IF(K26&lt;&gt;"",$D26,0)+IF(K27&lt;&gt;"",$D27,0)+IF(K28&lt;&gt;"",$D28,0)+IF(K29&lt;&gt;"",$D29,0)+IF(K30&lt;&gt;"",$D30,0))=0,"",(IFERROR(K25*$D25,0)+IFERROR(K26*$D26,0)+IFERROR(K27*$D27,0)+IFERROR(K28*$D28,0)+IFERROR(K29*$D29,0)+IFERROR(K30*$D30,0))/(IF(K25&lt;&gt;"",$D25,0)+IF(K26&lt;&gt;"",$D26,0)+IF(K27&lt;&gt;"",$D27,0)+IF(K28&lt;&gt;"",$D28,0)+IF(K29&lt;&gt;"",$D29,0)+IF(K30&lt;&gt;"",$D30,0)))</f>
        <v/>
      </c>
    </row>
    <row r="7">
      <c r="A7" s="2" t="inlineStr">
        <is>
          <t>Logging</t>
        </is>
      </c>
      <c r="B7" s="2" t="n">
        <v>10</v>
      </c>
      <c r="C7" s="3">
        <f>IF((IF(E31&lt;&gt;"",$D31,0)+IF(E32&lt;&gt;"",$D32,0)+IF(E33&lt;&gt;"",$D33,0)+IF(E34&lt;&gt;"",$D34,0)+IF(E35&lt;&gt;"",$D35,0)+IF(E36&lt;&gt;"",$D36,0)+IF(E37&lt;&gt;"",$D37,0))=0,"",(IFERROR(E31*$D31,0)+IFERROR(E32*$D32,0)+IFERROR(E33*$D33,0)+IFERROR(E34*$D34,0)+IFERROR(E35*$D35,0)+IFERROR(E36*$D36,0)+IFERROR(E37*$D37,0))/(IF(E31&lt;&gt;"",$D31,0)+IF(E32&lt;&gt;"",$D32,0)+IF(E33&lt;&gt;"",$D33,0)+IF(E34&lt;&gt;"",$D34,0)+IF(E35&lt;&gt;"",$D35,0)+IF(E36&lt;&gt;"",$D36,0)+IF(E37&lt;&gt;"",$D37,0)))</f>
        <v/>
      </c>
      <c r="D7" s="3">
        <f>IF((IF(G31&lt;&gt;"",$D31,0)+IF(G32&lt;&gt;"",$D32,0)+IF(G33&lt;&gt;"",$D33,0)+IF(G34&lt;&gt;"",$D34,0)+IF(G35&lt;&gt;"",$D35,0)+IF(G36&lt;&gt;"",$D36,0)+IF(G37&lt;&gt;"",$D37,0))=0,"",(IFERROR(G31*$D31,0)+IFERROR(G32*$D32,0)+IFERROR(G33*$D33,0)+IFERROR(G34*$D34,0)+IFERROR(G35*$D35,0)+IFERROR(G36*$D36,0)+IFERROR(G37*$D37,0))/(IF(G31&lt;&gt;"",$D31,0)+IF(G32&lt;&gt;"",$D32,0)+IF(G33&lt;&gt;"",$D33,0)+IF(G34&lt;&gt;"",$D34,0)+IF(G35&lt;&gt;"",$D35,0)+IF(G36&lt;&gt;"",$D36,0)+IF(G37&lt;&gt;"",$D37,0)))</f>
        <v/>
      </c>
      <c r="E7" s="3">
        <f>IF((IF(I31&lt;&gt;"",$D31,0)+IF(I32&lt;&gt;"",$D32,0)+IF(I33&lt;&gt;"",$D33,0)+IF(I34&lt;&gt;"",$D34,0)+IF(I35&lt;&gt;"",$D35,0)+IF(I36&lt;&gt;"",$D36,0)+IF(I37&lt;&gt;"",$D37,0))=0,"",(IFERROR(I31*$D31,0)+IFERROR(I32*$D32,0)+IFERROR(I33*$D33,0)+IFERROR(I34*$D34,0)+IFERROR(I35*$D35,0)+IFERROR(I36*$D36,0)+IFERROR(I37*$D37,0))/(IF(I31&lt;&gt;"",$D31,0)+IF(I32&lt;&gt;"",$D32,0)+IF(I33&lt;&gt;"",$D33,0)+IF(I34&lt;&gt;"",$D34,0)+IF(I35&lt;&gt;"",$D35,0)+IF(I36&lt;&gt;"",$D36,0)+IF(I37&lt;&gt;"",$D37,0)))</f>
        <v/>
      </c>
      <c r="F7" s="3">
        <f>IF((IF(K31&lt;&gt;"",$D31,0)+IF(K32&lt;&gt;"",$D32,0)+IF(K33&lt;&gt;"",$D33,0)+IF(K34&lt;&gt;"",$D34,0)+IF(K35&lt;&gt;"",$D35,0)+IF(K36&lt;&gt;"",$D36,0)+IF(K37&lt;&gt;"",$D37,0))=0,"",(IFERROR(K31*$D31,0)+IFERROR(K32*$D32,0)+IFERROR(K33*$D33,0)+IFERROR(K34*$D34,0)+IFERROR(K35*$D35,0)+IFERROR(K36*$D36,0)+IFERROR(K37*$D37,0))/(IF(K31&lt;&gt;"",$D31,0)+IF(K32&lt;&gt;"",$D32,0)+IF(K33&lt;&gt;"",$D33,0)+IF(K34&lt;&gt;"",$D34,0)+IF(K35&lt;&gt;"",$D35,0)+IF(K36&lt;&gt;"",$D36,0)+IF(K37&lt;&gt;"",$D37,0)))</f>
        <v/>
      </c>
    </row>
    <row r="8">
      <c r="A8" s="2" t="inlineStr">
        <is>
          <t>TOTAL</t>
        </is>
      </c>
      <c r="B8" s="2" t="n">
        <v>100</v>
      </c>
      <c r="C8" s="3">
        <f>SUMPRODUCT(B2:B7,C2:C7)/100</f>
        <v/>
      </c>
      <c r="D8" s="3">
        <f>SUMPRODUCT(B2:B7,D2:D7)/100</f>
        <v/>
      </c>
      <c r="E8" s="3">
        <f>SUMPRODUCT(B2:B7,E2:E7)/100</f>
        <v/>
      </c>
      <c r="F8" s="3">
        <f>SUMPRODUCT(B2:B7,F2:F7)/100</f>
        <v/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2026-09-14T20:11:04Z</dcterms:created>
  <dcterms:modified xmlns:dcterms="http://purl.org/dc/terms/" xmlns:xsi="http://www.w3.org/2001/XMLSchema-instance" xsi:type="dcterms:W3CDTF">2026-09-14T20:13:00Z</dcterms:modified>
</cp:coreProperties>
</file>