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0D0D0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FFFFFF"/>
      <sz val="14"/>
    </font>
    <font>
      <name val="Arial"/>
      <b val="1"/>
      <color rgb="001B3A5F"/>
      <sz val="9"/>
    </font>
    <font>
      <name val="Arial"/>
      <b val="1"/>
      <sz val="8"/>
    </font>
    <font>
      <name val="Arial"/>
      <sz val="8"/>
    </font>
    <font>
      <name val="Arial"/>
      <b val="1"/>
      <sz val="9"/>
    </font>
    <font>
      <name val="Arial"/>
      <b val="1"/>
      <color rgb="00FFFFFF"/>
      <sz val="7"/>
    </font>
    <font>
      <name val="Arial"/>
      <sz val="7"/>
    </font>
    <font>
      <name val="Arial"/>
      <b val="1"/>
      <color rgb="00FFFFFF"/>
      <sz val="9"/>
    </font>
  </fonts>
  <fills count="24">
    <fill>
      <patternFill/>
    </fill>
    <fill>
      <patternFill patternType="gray125"/>
    </fill>
    <fill>
      <patternFill patternType="solid">
        <fgColor rgb="001B3A5F"/>
      </patternFill>
    </fill>
    <fill>
      <patternFill patternType="solid">
        <fgColor rgb="001E4D7B"/>
      </patternFill>
    </fill>
    <fill>
      <patternFill patternType="solid">
        <fgColor rgb="002E86AB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5DADE2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58D68D"/>
      </patternFill>
    </fill>
    <fill>
      <patternFill patternType="solid">
        <fgColor rgb="00F4D03F"/>
      </patternFill>
    </fill>
    <fill>
      <patternFill patternType="solid">
        <fgColor rgb="00FCF3CF"/>
      </patternFill>
    </fill>
    <fill>
      <patternFill patternType="solid">
        <fgColor rgb="00A569BD"/>
      </patternFill>
    </fill>
    <fill>
      <patternFill patternType="solid">
        <fgColor rgb="00E8DAEF"/>
      </patternFill>
    </fill>
    <fill>
      <patternFill patternType="solid">
        <fgColor rgb="00D4E6F1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F8F9F9"/>
      </patternFill>
    </fill>
    <fill>
      <patternFill patternType="solid">
        <fgColor rgb="00EBF5FB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left" vertical="center" wrapText="1"/>
    </xf>
    <xf numFmtId="164" fontId="1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pivotButton="0" quotePrefix="0" xfId="0"/>
    <xf numFmtId="0" fontId="6" fillId="11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left" vertical="center" wrapText="1"/>
    </xf>
    <xf numFmtId="164" fontId="10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10" borderId="1" pivotButton="0" quotePrefix="0" xfId="0"/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left" vertical="center" wrapText="1"/>
    </xf>
    <xf numFmtId="164" fontId="10" fillId="13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3" borderId="1" pivotButton="0" quotePrefix="0" xfId="0"/>
    <xf numFmtId="0" fontId="6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indent="1"/>
    </xf>
    <xf numFmtId="0" fontId="9" fillId="15" borderId="1" applyAlignment="1" pivotButton="0" quotePrefix="0" xfId="0">
      <alignment horizontal="left" vertical="center" wrapText="1"/>
    </xf>
    <xf numFmtId="164" fontId="10" fillId="15" borderId="1" applyAlignment="1" pivotButton="0" quotePrefix="0" xfId="0">
      <alignment horizontal="center" vertical="center"/>
    </xf>
    <xf numFmtId="0" fontId="0" fillId="14" borderId="1" pivotButton="0" quotePrefix="0" xfId="0"/>
    <xf numFmtId="0" fontId="0" fillId="15" borderId="1" pivotButton="0" quotePrefix="0" xfId="0"/>
    <xf numFmtId="0" fontId="7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indent="1"/>
    </xf>
    <xf numFmtId="0" fontId="9" fillId="16" borderId="1" applyAlignment="1" pivotButton="0" quotePrefix="0" xfId="0">
      <alignment horizontal="left" vertical="center" wrapText="1"/>
    </xf>
    <xf numFmtId="164" fontId="10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6" fillId="1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center" vertical="center"/>
    </xf>
    <xf numFmtId="0" fontId="0" fillId="17" borderId="1" pivotButton="0" quotePrefix="0" xfId="0"/>
    <xf numFmtId="0" fontId="0" fillId="9" borderId="1" pivotButton="0" quotePrefix="0" xfId="0"/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left" vertical="center" wrapText="1" indent="1"/>
    </xf>
    <xf numFmtId="0" fontId="0" fillId="21" borderId="1" pivotButton="0" quotePrefix="0" xfId="0"/>
    <xf numFmtId="0" fontId="5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left" vertical="center" wrapText="1" indent="1"/>
    </xf>
    <xf numFmtId="0" fontId="0" fillId="22" borderId="1" pivotButton="0" quotePrefix="0" xfId="0"/>
    <xf numFmtId="0" fontId="0" fillId="2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48" customWidth="1" min="4" max="4"/>
    <col width="8" customWidth="1" min="5" max="5"/>
    <col width="8" customWidth="1" min="6" max="6"/>
    <col width="9" customWidth="1" min="7" max="7"/>
    <col width="14" customWidth="1" min="8" max="8"/>
    <col width="8" customWidth="1" min="9" max="9"/>
    <col width="9" customWidth="1" min="10" max="10"/>
    <col width="14" customWidth="1" min="11" max="11"/>
    <col width="8" customWidth="1" min="12" max="12"/>
    <col width="9" customWidth="1" min="13" max="13"/>
    <col width="14" customWidth="1" min="14" max="14"/>
  </cols>
  <sheetData>
    <row r="1" ht="32" customHeight="1">
      <c r="A1" s="1" t="inlineStr">
        <is>
          <t>File Transfer Tools Evaluation – Apache NiFi vs. Jenkins vs. Rundeck</t>
        </is>
      </c>
    </row>
    <row r="2" ht="18" customHeight="1">
      <c r="A2" s="2" t="inlineStr">
        <is>
          <t>Compare and evaluate tools based on scalability, reliability, alarming, security, data consistency and logging.          [ Apache NiFi ]  [ Jenkins ]  [ Rundeck ]</t>
        </is>
      </c>
    </row>
    <row r="3" ht="24" customHeight="1">
      <c r="A3" s="3" t="inlineStr">
        <is>
          <t>#</t>
        </is>
      </c>
      <c r="B3" s="3" t="inlineStr">
        <is>
          <t>Category</t>
        </is>
      </c>
      <c r="C3" s="3" t="inlineStr">
        <is>
          <t>Criterion</t>
        </is>
      </c>
      <c r="D3" s="3" t="inlineStr">
        <is>
          <t>Description / What to Evaluate</t>
        </is>
      </c>
      <c r="E3" s="3" t="inlineStr">
        <is>
          <t>Weight
(%)</t>
        </is>
      </c>
      <c r="F3" s="4" t="inlineStr">
        <is>
          <t>Apache NiFi</t>
        </is>
      </c>
      <c r="G3" s="5" t="n"/>
      <c r="H3" s="5" t="n"/>
      <c r="I3" s="6" t="inlineStr">
        <is>
          <t>Jenkins</t>
        </is>
      </c>
      <c r="J3" s="7" t="n"/>
      <c r="K3" s="7" t="n"/>
      <c r="L3" s="8" t="inlineStr">
        <is>
          <t>Rundeck</t>
        </is>
      </c>
      <c r="M3" s="9" t="n"/>
      <c r="N3" s="9" t="n"/>
    </row>
    <row r="4" ht="30" customHeight="1">
      <c r="A4" s="10" t="inlineStr"/>
      <c r="B4" s="10" t="inlineStr"/>
      <c r="C4" s="10" t="inlineStr"/>
      <c r="D4" s="10" t="inlineStr"/>
      <c r="E4" s="10" t="inlineStr"/>
      <c r="F4" s="11" t="inlineStr">
        <is>
          <t>Score
(1-5)</t>
        </is>
      </c>
      <c r="G4" s="11" t="inlineStr">
        <is>
          <t>Weighted
Score</t>
        </is>
      </c>
      <c r="H4" s="11" t="inlineStr">
        <is>
          <t>Comments</t>
        </is>
      </c>
      <c r="I4" s="12" t="inlineStr">
        <is>
          <t>Score
(1-5)</t>
        </is>
      </c>
      <c r="J4" s="12" t="inlineStr">
        <is>
          <t>Weighted
Score</t>
        </is>
      </c>
      <c r="K4" s="12" t="inlineStr">
        <is>
          <t>Comments</t>
        </is>
      </c>
      <c r="L4" s="13" t="inlineStr">
        <is>
          <t>Score
(1-5)</t>
        </is>
      </c>
      <c r="M4" s="13" t="inlineStr">
        <is>
          <t>Weighted
Score</t>
        </is>
      </c>
      <c r="N4" s="13" t="inlineStr">
        <is>
          <t>Comments</t>
        </is>
      </c>
    </row>
    <row r="5" ht="22" customHeight="1">
      <c r="A5" s="14" t="n">
        <v>1</v>
      </c>
      <c r="B5" s="15" t="inlineStr">
        <is>
          <t>Scalable</t>
        </is>
      </c>
      <c r="C5" s="16" t="inlineStr">
        <is>
          <t>1.1  Volume Scalability</t>
        </is>
      </c>
      <c r="D5" s="17" t="inlineStr">
        <is>
          <t>Handle large file volumes and sizes without performance degradation.</t>
        </is>
      </c>
      <c r="E5" s="18" t="n">
        <v>5</v>
      </c>
      <c r="F5" s="19" t="inlineStr"/>
      <c r="G5" s="20">
        <f>IF(F5="","",ROUND(F5*E5/100,2))</f>
        <v/>
      </c>
      <c r="H5" s="19" t="inlineStr"/>
      <c r="I5" s="21" t="inlineStr"/>
      <c r="J5" s="22">
        <f>IF(I5="","",ROUND(I5*E5/100,2))</f>
        <v/>
      </c>
      <c r="K5" s="21" t="inlineStr"/>
      <c r="L5" s="23" t="inlineStr"/>
      <c r="M5" s="24">
        <f>IF(L5="","",ROUND(L5*E5/100,2))</f>
        <v/>
      </c>
      <c r="N5" s="23" t="inlineStr"/>
    </row>
    <row r="6" ht="22" customHeight="1">
      <c r="A6" s="25" t="n"/>
      <c r="B6" s="26" t="n"/>
      <c r="C6" s="16" t="inlineStr">
        <is>
          <t>1.2  Frequency Scalability</t>
        </is>
      </c>
      <c r="D6" s="17" t="inlineStr">
        <is>
          <t>Support high-frequency transfers and job concurrency.</t>
        </is>
      </c>
      <c r="E6" s="18" t="n">
        <v>4</v>
      </c>
      <c r="F6" s="19" t="inlineStr"/>
      <c r="G6" s="20">
        <f>IF(F6="","",ROUND(F6*E6/100,2))</f>
        <v/>
      </c>
      <c r="H6" s="19" t="inlineStr"/>
      <c r="I6" s="21" t="inlineStr"/>
      <c r="J6" s="22">
        <f>IF(I6="","",ROUND(I6*E6/100,2))</f>
        <v/>
      </c>
      <c r="K6" s="21" t="inlineStr"/>
      <c r="L6" s="23" t="inlineStr"/>
      <c r="M6" s="24">
        <f>IF(L6="","",ROUND(L6*E6/100,2))</f>
        <v/>
      </c>
      <c r="N6" s="23" t="inlineStr"/>
    </row>
    <row r="7" ht="22" customHeight="1">
      <c r="A7" s="25" t="n"/>
      <c r="B7" s="26" t="n"/>
      <c r="C7" s="16" t="inlineStr">
        <is>
          <t>1.3  Complexity Scalability</t>
        </is>
      </c>
      <c r="D7" s="17" t="inlineStr">
        <is>
          <t>Manage complex workflows and multiple endpoints.</t>
        </is>
      </c>
      <c r="E7" s="18" t="n">
        <v>3</v>
      </c>
      <c r="F7" s="19" t="inlineStr"/>
      <c r="G7" s="20">
        <f>IF(F7="","",ROUND(F7*E7/100,2))</f>
        <v/>
      </c>
      <c r="H7" s="19" t="inlineStr"/>
      <c r="I7" s="21" t="inlineStr"/>
      <c r="J7" s="22">
        <f>IF(I7="","",ROUND(I7*E7/100,2))</f>
        <v/>
      </c>
      <c r="K7" s="21" t="inlineStr"/>
      <c r="L7" s="23" t="inlineStr"/>
      <c r="M7" s="24">
        <f>IF(L7="","",ROUND(L7*E7/100,2))</f>
        <v/>
      </c>
      <c r="N7" s="23" t="inlineStr"/>
    </row>
    <row r="8" ht="22" customHeight="1">
      <c r="A8" s="25" t="n"/>
      <c r="B8" s="26" t="n"/>
      <c r="C8" s="16" t="inlineStr">
        <is>
          <t>1.4  Operational Scalability</t>
        </is>
      </c>
      <c r="D8" s="17" t="inlineStr">
        <is>
          <t>Add nodes/users/endpoints with minimal effort.</t>
        </is>
      </c>
      <c r="E8" s="18" t="n">
        <v>3</v>
      </c>
      <c r="F8" s="19" t="inlineStr"/>
      <c r="G8" s="20">
        <f>IF(F8="","",ROUND(F8*E8/100,2))</f>
        <v/>
      </c>
      <c r="H8" s="19" t="inlineStr"/>
      <c r="I8" s="21" t="inlineStr"/>
      <c r="J8" s="22">
        <f>IF(I8="","",ROUND(I8*E8/100,2))</f>
        <v/>
      </c>
      <c r="K8" s="21" t="inlineStr"/>
      <c r="L8" s="23" t="inlineStr"/>
      <c r="M8" s="24">
        <f>IF(L8="","",ROUND(L8*E8/100,2))</f>
        <v/>
      </c>
      <c r="N8" s="23" t="inlineStr"/>
    </row>
    <row r="9" ht="22" customHeight="1">
      <c r="A9" s="27" t="n">
        <v>2</v>
      </c>
      <c r="B9" s="28" t="inlineStr">
        <is>
          <t>Reliable</t>
        </is>
      </c>
      <c r="C9" s="29" t="inlineStr">
        <is>
          <t>2.1  Predictable Execution</t>
        </is>
      </c>
      <c r="D9" s="30" t="inlineStr">
        <is>
          <t>Jobs execute consistently with expected results.</t>
        </is>
      </c>
      <c r="E9" s="31" t="n">
        <v>5</v>
      </c>
      <c r="F9" s="19" t="inlineStr"/>
      <c r="G9" s="20">
        <f>IF(F9="","",ROUND(F9*E9/100,2))</f>
        <v/>
      </c>
      <c r="H9" s="19" t="inlineStr"/>
      <c r="I9" s="21" t="inlineStr"/>
      <c r="J9" s="22">
        <f>IF(I9="","",ROUND(I9*E9/100,2))</f>
        <v/>
      </c>
      <c r="K9" s="21" t="inlineStr"/>
      <c r="L9" s="23" t="inlineStr"/>
      <c r="M9" s="24">
        <f>IF(L9="","",ROUND(L9*E9/100,2))</f>
        <v/>
      </c>
      <c r="N9" s="23" t="inlineStr"/>
    </row>
    <row r="10" ht="22" customHeight="1">
      <c r="A10" s="32" t="n"/>
      <c r="B10" s="33" t="n"/>
      <c r="C10" s="29" t="inlineStr">
        <is>
          <t>2.2  Failure Handling</t>
        </is>
      </c>
      <c r="D10" s="30" t="inlineStr">
        <is>
          <t>Detect and handle errors without inconsistent state.</t>
        </is>
      </c>
      <c r="E10" s="31" t="n">
        <v>5</v>
      </c>
      <c r="F10" s="19" t="inlineStr"/>
      <c r="G10" s="20">
        <f>IF(F10="","",ROUND(F10*E10/100,2))</f>
        <v/>
      </c>
      <c r="H10" s="19" t="inlineStr"/>
      <c r="I10" s="21" t="inlineStr"/>
      <c r="J10" s="22">
        <f>IF(I10="","",ROUND(I10*E10/100,2))</f>
        <v/>
      </c>
      <c r="K10" s="21" t="inlineStr"/>
      <c r="L10" s="23" t="inlineStr"/>
      <c r="M10" s="24">
        <f>IF(L10="","",ROUND(L10*E10/100,2))</f>
        <v/>
      </c>
      <c r="N10" s="23" t="inlineStr"/>
    </row>
    <row r="11" ht="22" customHeight="1">
      <c r="A11" s="32" t="n"/>
      <c r="B11" s="33" t="n"/>
      <c r="C11" s="29" t="inlineStr">
        <is>
          <t>2.3  Transfer Resume</t>
        </is>
      </c>
      <c r="D11" s="30" t="inlineStr">
        <is>
          <t>Resume interrupted transfers.</t>
        </is>
      </c>
      <c r="E11" s="31" t="n">
        <v>5</v>
      </c>
      <c r="F11" s="19" t="inlineStr"/>
      <c r="G11" s="20">
        <f>IF(F11="","",ROUND(F11*E11/100,2))</f>
        <v/>
      </c>
      <c r="H11" s="19" t="inlineStr"/>
      <c r="I11" s="21" t="inlineStr"/>
      <c r="J11" s="22">
        <f>IF(I11="","",ROUND(I11*E11/100,2))</f>
        <v/>
      </c>
      <c r="K11" s="21" t="inlineStr"/>
      <c r="L11" s="23" t="inlineStr"/>
      <c r="M11" s="24">
        <f>IF(L11="","",ROUND(L11*E11/100,2))</f>
        <v/>
      </c>
      <c r="N11" s="23" t="inlineStr"/>
    </row>
    <row r="12" ht="22" customHeight="1">
      <c r="A12" s="32" t="n"/>
      <c r="B12" s="33" t="n"/>
      <c r="C12" s="29" t="inlineStr">
        <is>
          <t>2.4  Configurable Retry</t>
        </is>
      </c>
      <c r="D12" s="30" t="inlineStr">
        <is>
          <t>Supports retry policies (count, interval, backoff).</t>
        </is>
      </c>
      <c r="E12" s="31" t="n">
        <v>4</v>
      </c>
      <c r="F12" s="19" t="inlineStr"/>
      <c r="G12" s="20">
        <f>IF(F12="","",ROUND(F12*E12/100,2))</f>
        <v/>
      </c>
      <c r="H12" s="19" t="inlineStr"/>
      <c r="I12" s="21" t="inlineStr"/>
      <c r="J12" s="22">
        <f>IF(I12="","",ROUND(I12*E12/100,2))</f>
        <v/>
      </c>
      <c r="K12" s="21" t="inlineStr"/>
      <c r="L12" s="23" t="inlineStr"/>
      <c r="M12" s="24">
        <f>IF(L12="","",ROUND(L12*E12/100,2))</f>
        <v/>
      </c>
      <c r="N12" s="23" t="inlineStr"/>
    </row>
    <row r="13" ht="22" customHeight="1">
      <c r="A13" s="32" t="n"/>
      <c r="B13" s="33" t="n"/>
      <c r="C13" s="29" t="inlineStr">
        <is>
          <t>2.5  Partial Availability</t>
        </is>
      </c>
      <c r="D13" s="30" t="inlineStr">
        <is>
          <t>Maintain operation during partial outages.</t>
        </is>
      </c>
      <c r="E13" s="31" t="n">
        <v>4</v>
      </c>
      <c r="F13" s="19" t="inlineStr"/>
      <c r="G13" s="20">
        <f>IF(F13="","",ROUND(F13*E13/100,2))</f>
        <v/>
      </c>
      <c r="H13" s="19" t="inlineStr"/>
      <c r="I13" s="21" t="inlineStr"/>
      <c r="J13" s="22">
        <f>IF(I13="","",ROUND(I13*E13/100,2))</f>
        <v/>
      </c>
      <c r="K13" s="21" t="inlineStr"/>
      <c r="L13" s="23" t="inlineStr"/>
      <c r="M13" s="24">
        <f>IF(L13="","",ROUND(L13*E13/100,2))</f>
        <v/>
      </c>
      <c r="N13" s="23" t="inlineStr"/>
    </row>
    <row r="14" ht="22" customHeight="1">
      <c r="A14" s="34" t="n">
        <v>3</v>
      </c>
      <c r="B14" s="35" t="inlineStr">
        <is>
          <t>Alarming</t>
        </is>
      </c>
      <c r="C14" s="36" t="inlineStr">
        <is>
          <t>3.1  Early Detection</t>
        </is>
      </c>
      <c r="D14" s="37" t="inlineStr">
        <is>
          <t>Detect anomalies before business impact.</t>
        </is>
      </c>
      <c r="E14" s="38" t="n">
        <v>5</v>
      </c>
      <c r="F14" s="19" t="inlineStr"/>
      <c r="G14" s="20">
        <f>IF(F14="","",ROUND(F14*E14/100,2))</f>
        <v/>
      </c>
      <c r="H14" s="19" t="inlineStr"/>
      <c r="I14" s="21" t="inlineStr"/>
      <c r="J14" s="22">
        <f>IF(I14="","",ROUND(I14*E14/100,2))</f>
        <v/>
      </c>
      <c r="K14" s="21" t="inlineStr"/>
      <c r="L14" s="23" t="inlineStr"/>
      <c r="M14" s="24">
        <f>IF(L14="","",ROUND(L14*E14/100,2))</f>
        <v/>
      </c>
      <c r="N14" s="23" t="inlineStr"/>
    </row>
    <row r="15" ht="22" customHeight="1">
      <c r="A15" s="39" t="n"/>
      <c r="B15" s="40" t="n"/>
      <c r="C15" s="36" t="inlineStr">
        <is>
          <t>3.2  Configurable Alerts</t>
        </is>
      </c>
      <c r="D15" s="37" t="inlineStr">
        <is>
          <t>Configure alert rules and thresholds.</t>
        </is>
      </c>
      <c r="E15" s="38" t="n">
        <v>4</v>
      </c>
      <c r="F15" s="19" t="inlineStr"/>
      <c r="G15" s="20">
        <f>IF(F15="","",ROUND(F15*E15/100,2))</f>
        <v/>
      </c>
      <c r="H15" s="19" t="inlineStr"/>
      <c r="I15" s="21" t="inlineStr"/>
      <c r="J15" s="22">
        <f>IF(I15="","",ROUND(I15*E15/100,2))</f>
        <v/>
      </c>
      <c r="K15" s="21" t="inlineStr"/>
      <c r="L15" s="23" t="inlineStr"/>
      <c r="M15" s="24">
        <f>IF(L15="","",ROUND(L15*E15/100,2))</f>
        <v/>
      </c>
      <c r="N15" s="23" t="inlineStr"/>
    </row>
    <row r="16" ht="22" customHeight="1">
      <c r="A16" s="39" t="n"/>
      <c r="B16" s="40" t="n"/>
      <c r="C16" s="36" t="inlineStr">
        <is>
          <t>3.3  Multi-Channel</t>
        </is>
      </c>
      <c r="D16" s="37" t="inlineStr">
        <is>
          <t>Email, webhook, Teams, Slack, etc.</t>
        </is>
      </c>
      <c r="E16" s="38" t="n">
        <v>3</v>
      </c>
      <c r="F16" s="19" t="inlineStr"/>
      <c r="G16" s="20">
        <f>IF(F16="","",ROUND(F16*E16/100,2))</f>
        <v/>
      </c>
      <c r="H16" s="19" t="inlineStr"/>
      <c r="I16" s="21" t="inlineStr"/>
      <c r="J16" s="22">
        <f>IF(I16="","",ROUND(I16*E16/100,2))</f>
        <v/>
      </c>
      <c r="K16" s="21" t="inlineStr"/>
      <c r="L16" s="23" t="inlineStr"/>
      <c r="M16" s="24">
        <f>IF(L16="","",ROUND(L16*E16/100,2))</f>
        <v/>
      </c>
      <c r="N16" s="23" t="inlineStr"/>
    </row>
    <row r="17" ht="22" customHeight="1">
      <c r="A17" s="39" t="n"/>
      <c r="B17" s="40" t="n"/>
      <c r="C17" s="36" t="inlineStr">
        <is>
          <t>3.4  Actionable Information</t>
        </is>
      </c>
      <c r="D17" s="37" t="inlineStr">
        <is>
          <t>Clear and detailed alert information.</t>
        </is>
      </c>
      <c r="E17" s="38" t="n">
        <v>4</v>
      </c>
      <c r="F17" s="19" t="inlineStr"/>
      <c r="G17" s="20">
        <f>IF(F17="","",ROUND(F17*E17/100,2))</f>
        <v/>
      </c>
      <c r="H17" s="19" t="inlineStr"/>
      <c r="I17" s="21" t="inlineStr"/>
      <c r="J17" s="22">
        <f>IF(I17="","",ROUND(I17*E17/100,2))</f>
        <v/>
      </c>
      <c r="K17" s="21" t="inlineStr"/>
      <c r="L17" s="23" t="inlineStr"/>
      <c r="M17" s="24">
        <f>IF(L17="","",ROUND(L17*E17/100,2))</f>
        <v/>
      </c>
      <c r="N17" s="23" t="inlineStr"/>
    </row>
    <row r="18" ht="22" customHeight="1">
      <c r="A18" s="41" t="n">
        <v>4</v>
      </c>
      <c r="B18" s="42" t="inlineStr">
        <is>
          <t>Secure</t>
        </is>
      </c>
      <c r="C18" s="43" t="inlineStr">
        <is>
          <t>4.1  Access Control</t>
        </is>
      </c>
      <c r="D18" s="44" t="inlineStr">
        <is>
          <t>RBAC and least privilege.</t>
        </is>
      </c>
      <c r="E18" s="45" t="n">
        <v>5</v>
      </c>
      <c r="F18" s="19" t="inlineStr"/>
      <c r="G18" s="20">
        <f>IF(F18="","",ROUND(F18*E18/100,2))</f>
        <v/>
      </c>
      <c r="H18" s="19" t="inlineStr"/>
      <c r="I18" s="21" t="inlineStr"/>
      <c r="J18" s="22">
        <f>IF(I18="","",ROUND(I18*E18/100,2))</f>
        <v/>
      </c>
      <c r="K18" s="21" t="inlineStr"/>
      <c r="L18" s="23" t="inlineStr"/>
      <c r="M18" s="24">
        <f>IF(L18="","",ROUND(L18*E18/100,2))</f>
        <v/>
      </c>
      <c r="N18" s="23" t="inlineStr"/>
    </row>
    <row r="19" ht="22" customHeight="1">
      <c r="A19" s="46" t="n"/>
      <c r="B19" s="47" t="n"/>
      <c r="C19" s="43" t="inlineStr">
        <is>
          <t>4.2  Secure Protocols</t>
        </is>
      </c>
      <c r="D19" s="44" t="inlineStr">
        <is>
          <t>SFTP, FTPS, HTTPS, APIs, etc.</t>
        </is>
      </c>
      <c r="E19" s="45" t="n">
        <v>5</v>
      </c>
      <c r="F19" s="19" t="inlineStr"/>
      <c r="G19" s="20">
        <f>IF(F19="","",ROUND(F19*E19/100,2))</f>
        <v/>
      </c>
      <c r="H19" s="19" t="inlineStr"/>
      <c r="I19" s="21" t="inlineStr"/>
      <c r="J19" s="22">
        <f>IF(I19="","",ROUND(I19*E19/100,2))</f>
        <v/>
      </c>
      <c r="K19" s="21" t="inlineStr"/>
      <c r="L19" s="23" t="inlineStr"/>
      <c r="M19" s="24">
        <f>IF(L19="","",ROUND(L19*E19/100,2))</f>
        <v/>
      </c>
      <c r="N19" s="23" t="inlineStr"/>
    </row>
    <row r="20" ht="22" customHeight="1">
      <c r="A20" s="46" t="n"/>
      <c r="B20" s="47" t="n"/>
      <c r="C20" s="43" t="inlineStr">
        <is>
          <t>4.3  Credential Management</t>
        </is>
      </c>
      <c r="D20" s="44" t="inlineStr">
        <is>
          <t>Secure storage and rotation.</t>
        </is>
      </c>
      <c r="E20" s="45" t="n">
        <v>5</v>
      </c>
      <c r="F20" s="19" t="inlineStr"/>
      <c r="G20" s="20">
        <f>IF(F20="","",ROUND(F20*E20/100,2))</f>
        <v/>
      </c>
      <c r="H20" s="19" t="inlineStr"/>
      <c r="I20" s="21" t="inlineStr"/>
      <c r="J20" s="22">
        <f>IF(I20="","",ROUND(I20*E20/100,2))</f>
        <v/>
      </c>
      <c r="K20" s="21" t="inlineStr"/>
      <c r="L20" s="23" t="inlineStr"/>
      <c r="M20" s="24">
        <f>IF(L20="","",ROUND(L20*E20/100,2))</f>
        <v/>
      </c>
      <c r="N20" s="23" t="inlineStr"/>
    </row>
    <row r="21" ht="22" customHeight="1">
      <c r="A21" s="46" t="n"/>
      <c r="B21" s="47" t="n"/>
      <c r="C21" s="43" t="inlineStr">
        <is>
          <t>4.4  Credential Non-Exposure</t>
        </is>
      </c>
      <c r="D21" s="44" t="inlineStr">
        <is>
          <t>No secrets in logs or configs.</t>
        </is>
      </c>
      <c r="E21" s="45" t="n">
        <v>5</v>
      </c>
      <c r="F21" s="19" t="inlineStr"/>
      <c r="G21" s="20">
        <f>IF(F21="","",ROUND(F21*E21/100,2))</f>
        <v/>
      </c>
      <c r="H21" s="19" t="inlineStr"/>
      <c r="I21" s="21" t="inlineStr"/>
      <c r="J21" s="22">
        <f>IF(I21="","",ROUND(I21*E21/100,2))</f>
        <v/>
      </c>
      <c r="K21" s="21" t="inlineStr"/>
      <c r="L21" s="23" t="inlineStr"/>
      <c r="M21" s="24">
        <f>IF(L21="","",ROUND(L21*E21/100,2))</f>
        <v/>
      </c>
      <c r="N21" s="23" t="inlineStr"/>
    </row>
    <row r="22" ht="22" customHeight="1">
      <c r="A22" s="46" t="n"/>
      <c r="B22" s="47" t="n"/>
      <c r="C22" s="43" t="inlineStr">
        <is>
          <t>4.5  Auditability</t>
        </is>
      </c>
      <c r="D22" s="44" t="inlineStr">
        <is>
          <t>Logs who did what, when, and where.</t>
        </is>
      </c>
      <c r="E22" s="45" t="n">
        <v>5</v>
      </c>
      <c r="F22" s="19" t="inlineStr"/>
      <c r="G22" s="20">
        <f>IF(F22="","",ROUND(F22*E22/100,2))</f>
        <v/>
      </c>
      <c r="H22" s="19" t="inlineStr"/>
      <c r="I22" s="21" t="inlineStr"/>
      <c r="J22" s="22">
        <f>IF(I22="","",ROUND(I22*E22/100,2))</f>
        <v/>
      </c>
      <c r="K22" s="21" t="inlineStr"/>
      <c r="L22" s="23" t="inlineStr"/>
      <c r="M22" s="24">
        <f>IF(L22="","",ROUND(L22*E22/100,2))</f>
        <v/>
      </c>
      <c r="N22" s="23" t="inlineStr"/>
    </row>
    <row r="23" ht="22" customHeight="1">
      <c r="A23" s="46" t="n"/>
      <c r="B23" s="47" t="n"/>
      <c r="C23" s="43" t="inlineStr">
        <is>
          <t>4.6  Encryption</t>
        </is>
      </c>
      <c r="D23" s="44" t="inlineStr">
        <is>
          <t>Encryption in transit and at rest.</t>
        </is>
      </c>
      <c r="E23" s="45" t="n">
        <v>4</v>
      </c>
      <c r="F23" s="19" t="inlineStr"/>
      <c r="G23" s="20">
        <f>IF(F23="","",ROUND(F23*E23/100,2))</f>
        <v/>
      </c>
      <c r="H23" s="19" t="inlineStr"/>
      <c r="I23" s="21" t="inlineStr"/>
      <c r="J23" s="22">
        <f>IF(I23="","",ROUND(I23*E23/100,2))</f>
        <v/>
      </c>
      <c r="K23" s="21" t="inlineStr"/>
      <c r="L23" s="23" t="inlineStr"/>
      <c r="M23" s="24">
        <f>IF(L23="","",ROUND(L23*E23/100,2))</f>
        <v/>
      </c>
      <c r="N23" s="23" t="inlineStr"/>
    </row>
    <row r="24" ht="22" customHeight="1">
      <c r="A24" s="14" t="n">
        <v>5</v>
      </c>
      <c r="B24" s="48" t="inlineStr">
        <is>
          <t>Data
Consistency</t>
        </is>
      </c>
      <c r="C24" s="49" t="inlineStr">
        <is>
          <t>5.1  Integrity Validation</t>
        </is>
      </c>
      <c r="D24" s="50" t="inlineStr">
        <is>
          <t>Checksum validation (MD5/SHA).</t>
        </is>
      </c>
      <c r="E24" s="51" t="n">
        <v>5</v>
      </c>
      <c r="F24" s="19" t="inlineStr"/>
      <c r="G24" s="20">
        <f>IF(F24="","",ROUND(F24*E24/100,2))</f>
        <v/>
      </c>
      <c r="H24" s="19" t="inlineStr"/>
      <c r="I24" s="21" t="inlineStr"/>
      <c r="J24" s="22">
        <f>IF(I24="","",ROUND(I24*E24/100,2))</f>
        <v/>
      </c>
      <c r="K24" s="21" t="inlineStr"/>
      <c r="L24" s="23" t="inlineStr"/>
      <c r="M24" s="24">
        <f>IF(L24="","",ROUND(L24*E24/100,2))</f>
        <v/>
      </c>
      <c r="N24" s="23" t="inlineStr"/>
    </row>
    <row r="25" ht="22" customHeight="1">
      <c r="A25" s="25" t="n"/>
      <c r="B25" s="52" t="n"/>
      <c r="C25" s="49" t="inlineStr">
        <is>
          <t>5.2  Automatic Recovery</t>
        </is>
      </c>
      <c r="D25" s="50" t="inlineStr">
        <is>
          <t>Auto recovery for failed transfers.</t>
        </is>
      </c>
      <c r="E25" s="51" t="n">
        <v>4</v>
      </c>
      <c r="F25" s="19" t="inlineStr"/>
      <c r="G25" s="20">
        <f>IF(F25="","",ROUND(F25*E25/100,2))</f>
        <v/>
      </c>
      <c r="H25" s="19" t="inlineStr"/>
      <c r="I25" s="21" t="inlineStr"/>
      <c r="J25" s="22">
        <f>IF(I25="","",ROUND(I25*E25/100,2))</f>
        <v/>
      </c>
      <c r="K25" s="21" t="inlineStr"/>
      <c r="L25" s="23" t="inlineStr"/>
      <c r="M25" s="24">
        <f>IF(L25="","",ROUND(L25*E25/100,2))</f>
        <v/>
      </c>
      <c r="N25" s="23" t="inlineStr"/>
    </row>
    <row r="26" ht="22" customHeight="1">
      <c r="A26" s="25" t="n"/>
      <c r="B26" s="52" t="n"/>
      <c r="C26" s="49" t="inlineStr">
        <is>
          <t>5.3  Duplicate Handling</t>
        </is>
      </c>
      <c r="D26" s="50" t="inlineStr">
        <is>
          <t>Prevent duplicates / ensure idempotency.</t>
        </is>
      </c>
      <c r="E26" s="51" t="n">
        <v>4</v>
      </c>
      <c r="F26" s="19" t="inlineStr"/>
      <c r="G26" s="20">
        <f>IF(F26="","",ROUND(F26*E26/100,2))</f>
        <v/>
      </c>
      <c r="H26" s="19" t="inlineStr"/>
      <c r="I26" s="21" t="inlineStr"/>
      <c r="J26" s="22">
        <f>IF(I26="","",ROUND(I26*E26/100,2))</f>
        <v/>
      </c>
      <c r="K26" s="21" t="inlineStr"/>
      <c r="L26" s="23" t="inlineStr"/>
      <c r="M26" s="24">
        <f>IF(L26="","",ROUND(L26*E26/100,2))</f>
        <v/>
      </c>
      <c r="N26" s="23" t="inlineStr"/>
    </row>
    <row r="27" ht="22" customHeight="1">
      <c r="A27" s="53" t="n">
        <v>6</v>
      </c>
      <c r="B27" s="54" t="inlineStr">
        <is>
          <t>Logging</t>
        </is>
      </c>
      <c r="C27" s="55" t="inlineStr">
        <is>
          <t>6.1  Execution Logs</t>
        </is>
      </c>
      <c r="D27" s="56" t="inlineStr">
        <is>
          <t>Detailed job and transfer logs.</t>
        </is>
      </c>
      <c r="E27" s="57" t="n">
        <v>4</v>
      </c>
      <c r="F27" s="19" t="inlineStr"/>
      <c r="G27" s="20">
        <f>IF(F27="","",ROUND(F27*E27/100,2))</f>
        <v/>
      </c>
      <c r="H27" s="19" t="inlineStr"/>
      <c r="I27" s="21" t="inlineStr"/>
      <c r="J27" s="22">
        <f>IF(I27="","",ROUND(I27*E27/100,2))</f>
        <v/>
      </c>
      <c r="K27" s="21" t="inlineStr"/>
      <c r="L27" s="23" t="inlineStr"/>
      <c r="M27" s="24">
        <f>IF(L27="","",ROUND(L27*E27/100,2))</f>
        <v/>
      </c>
      <c r="N27" s="23" t="inlineStr"/>
    </row>
    <row r="28" ht="22" customHeight="1">
      <c r="A28" s="58" t="n"/>
      <c r="B28" s="59" t="n"/>
      <c r="C28" s="55" t="inlineStr">
        <is>
          <t>6.2  Report Generation</t>
        </is>
      </c>
      <c r="D28" s="56" t="inlineStr">
        <is>
          <t>Generate execution reports.</t>
        </is>
      </c>
      <c r="E28" s="57" t="n">
        <v>3</v>
      </c>
      <c r="F28" s="19" t="inlineStr"/>
      <c r="G28" s="20">
        <f>IF(F28="","",ROUND(F28*E28/100,2))</f>
        <v/>
      </c>
      <c r="H28" s="19" t="inlineStr"/>
      <c r="I28" s="21" t="inlineStr"/>
      <c r="J28" s="22">
        <f>IF(I28="","",ROUND(I28*E28/100,2))</f>
        <v/>
      </c>
      <c r="K28" s="21" t="inlineStr"/>
      <c r="L28" s="23" t="inlineStr"/>
      <c r="M28" s="24">
        <f>IF(L28="","",ROUND(L28*E28/100,2))</f>
        <v/>
      </c>
      <c r="N28" s="23" t="inlineStr"/>
    </row>
    <row r="29" ht="22" customHeight="1">
      <c r="A29" s="58" t="n"/>
      <c r="B29" s="59" t="n"/>
      <c r="C29" s="55" t="inlineStr">
        <is>
          <t>6.3  Log Accessibility</t>
        </is>
      </c>
      <c r="D29" s="56" t="inlineStr">
        <is>
          <t>Easy access for troubleshooting and audit.</t>
        </is>
      </c>
      <c r="E29" s="57" t="n">
        <v>3</v>
      </c>
      <c r="F29" s="19" t="inlineStr"/>
      <c r="G29" s="20">
        <f>IF(F29="","",ROUND(F29*E29/100,2))</f>
        <v/>
      </c>
      <c r="H29" s="19" t="inlineStr"/>
      <c r="I29" s="21" t="inlineStr"/>
      <c r="J29" s="22">
        <f>IF(I29="","",ROUND(I29*E29/100,2))</f>
        <v/>
      </c>
      <c r="K29" s="21" t="inlineStr"/>
      <c r="L29" s="23" t="inlineStr"/>
      <c r="M29" s="24">
        <f>IF(L29="","",ROUND(L29*E29/100,2))</f>
        <v/>
      </c>
      <c r="N29" s="23" t="inlineStr"/>
    </row>
    <row r="31">
      <c r="A31" s="60" t="inlineStr">
        <is>
          <t>Scoring Guide</t>
        </is>
      </c>
      <c r="B31" s="61" t="n"/>
      <c r="C31" s="61" t="n"/>
      <c r="D31" s="61" t="n"/>
      <c r="E31" s="61" t="n"/>
      <c r="F31" s="62" t="inlineStr">
        <is>
          <t>Weight Distribution</t>
        </is>
      </c>
      <c r="G31" s="61" t="n"/>
      <c r="H31" s="61" t="n"/>
      <c r="I31" s="62" t="inlineStr">
        <is>
          <t>Results Summary</t>
        </is>
      </c>
      <c r="J31" s="61" t="n"/>
      <c r="K31" s="61" t="n"/>
      <c r="L31" s="61" t="n"/>
      <c r="M31" s="61" t="n"/>
      <c r="N31" s="61" t="n"/>
    </row>
    <row r="32" ht="42" customHeight="1">
      <c r="A32" s="63" t="inlineStr">
        <is>
          <t>1
Poor
Not supported</t>
        </is>
      </c>
      <c r="B32" s="64" t="inlineStr">
        <is>
          <t>2
Below Average
Limited</t>
        </is>
      </c>
      <c r="C32" s="65" t="inlineStr">
        <is>
          <t>3
Average
Basic support</t>
        </is>
      </c>
      <c r="D32" s="66" t="inlineStr">
        <is>
          <t>4
Above Average
Good support</t>
        </is>
      </c>
      <c r="E32" s="67" t="inlineStr">
        <is>
          <t>5
Excellent
Full support / Native</t>
        </is>
      </c>
      <c r="F32" s="68" t="inlineStr">
        <is>
          <t>● Scalable 15%    ● Reliable 23%    ● Alarming 16%
● Secure 29%    ● Data Consistency 13%    ● Logging 10%    → 100%</t>
        </is>
      </c>
      <c r="G32" s="69" t="n"/>
      <c r="H32" s="69" t="n"/>
      <c r="I32" s="70" t="inlineStr">
        <is>
          <t>Tool</t>
        </is>
      </c>
      <c r="J32" s="71" t="inlineStr">
        <is>
          <t>Total Score (1-5)</t>
        </is>
      </c>
      <c r="K32" s="61" t="n"/>
      <c r="L32" s="71" t="inlineStr">
        <is>
          <t>Weighted Score (0-100)</t>
        </is>
      </c>
      <c r="M32" s="61" t="n"/>
      <c r="N32" s="70" t="inlineStr">
        <is>
          <t>Rank</t>
        </is>
      </c>
    </row>
    <row r="33" ht="18" customHeight="1">
      <c r="I33" s="16" t="inlineStr">
        <is>
          <t>Apache NiFi</t>
        </is>
      </c>
      <c r="J33" s="72">
        <f>IF(COUNT(F5:F29)=0,"—",ROUND(AVERAGE(F5:F29),2))</f>
        <v/>
      </c>
      <c r="K33" s="26" t="n"/>
      <c r="L33" s="72">
        <f>IF(COUNT(G5:G29)=0,"—",ROUND(SUM(G5:G29),2))</f>
        <v/>
      </c>
      <c r="M33" s="26" t="n"/>
      <c r="N33" s="72" t="inlineStr">
        <is>
          <t>—</t>
        </is>
      </c>
    </row>
    <row r="34" ht="18" customHeight="1">
      <c r="I34" s="55" t="inlineStr">
        <is>
          <t>Jenkins</t>
        </is>
      </c>
      <c r="J34" s="73">
        <f>IF(COUNT(I5:I29)=0,"—",ROUND(AVERAGE(I5:I29),2))</f>
        <v/>
      </c>
      <c r="K34" s="59" t="n"/>
      <c r="L34" s="73">
        <f>IF(COUNT(J5:J29)=0,"—",ROUND(SUM(J5:J29),2))</f>
        <v/>
      </c>
      <c r="M34" s="59" t="n"/>
      <c r="N34" s="73" t="inlineStr">
        <is>
          <t>—</t>
        </is>
      </c>
    </row>
    <row r="35" ht="18" customHeight="1">
      <c r="I35" s="29" t="inlineStr">
        <is>
          <t>Rundeck</t>
        </is>
      </c>
      <c r="J35" s="74">
        <f>IF(COUNT(L5:L29)=0,"—",ROUND(AVERAGE(L5:L29),2))</f>
        <v/>
      </c>
      <c r="K35" s="33" t="n"/>
      <c r="L35" s="74">
        <f>IF(COUNT(M5:M29)=0,"—",ROUND(SUM(M5:M29),2))</f>
        <v/>
      </c>
      <c r="M35" s="33" t="n"/>
      <c r="N35" s="74" t="inlineStr">
        <is>
          <t>—</t>
        </is>
      </c>
    </row>
    <row r="37">
      <c r="A37" s="75" t="inlineStr">
        <is>
          <t>Key Considerations</t>
        </is>
      </c>
      <c r="B37" s="61" t="n"/>
      <c r="C37" s="61" t="n"/>
      <c r="D37" s="61" t="n"/>
      <c r="E37" s="61" t="n"/>
      <c r="F37" s="61" t="n"/>
      <c r="G37" s="61" t="n"/>
      <c r="H37" s="61" t="n"/>
      <c r="I37" s="76" t="inlineStr">
        <is>
          <t>🏆  Final Recommendation</t>
        </is>
      </c>
      <c r="J37" s="61" t="n"/>
      <c r="K37" s="61" t="n"/>
      <c r="L37" s="61" t="n"/>
      <c r="M37" s="61" t="n"/>
      <c r="N37" s="61" t="n"/>
    </row>
    <row r="38" ht="32" customHeight="1">
      <c r="A38" s="77" t="inlineStr">
        <is>
          <t>• Use consistent scoring across tools.          • Consider your specific environment and use cases.
• Add comments to justify scores.               • Adjust weights based on business priorities.</t>
        </is>
      </c>
      <c r="B38" s="78" t="n"/>
      <c r="C38" s="78" t="n"/>
      <c r="D38" s="78" t="n"/>
      <c r="E38" s="78" t="n"/>
      <c r="F38" s="78" t="n"/>
      <c r="G38" s="78" t="n"/>
      <c r="H38" s="78" t="n"/>
      <c r="I38" s="79" t="inlineStr"/>
      <c r="J38" s="79" t="n"/>
      <c r="K38" s="79" t="n"/>
      <c r="L38" s="79" t="n"/>
      <c r="M38" s="79" t="n"/>
      <c r="N38" s="79" t="n"/>
    </row>
  </sheetData>
  <mergeCells count="33">
    <mergeCell ref="B9:B13"/>
    <mergeCell ref="I37:N37"/>
    <mergeCell ref="L32:M32"/>
    <mergeCell ref="F32:H32"/>
    <mergeCell ref="B24:B26"/>
    <mergeCell ref="I3:K3"/>
    <mergeCell ref="A1:N1"/>
    <mergeCell ref="B14:B17"/>
    <mergeCell ref="B18:B23"/>
    <mergeCell ref="J34:K34"/>
    <mergeCell ref="A9:A13"/>
    <mergeCell ref="F31:H31"/>
    <mergeCell ref="L33:M33"/>
    <mergeCell ref="A24:A26"/>
    <mergeCell ref="A37:H37"/>
    <mergeCell ref="I38:N38"/>
    <mergeCell ref="J35:K35"/>
    <mergeCell ref="A18:A23"/>
    <mergeCell ref="L35:M35"/>
    <mergeCell ref="A2:N2"/>
    <mergeCell ref="J32:K32"/>
    <mergeCell ref="A14:A17"/>
    <mergeCell ref="I31:N31"/>
    <mergeCell ref="A5:A8"/>
    <mergeCell ref="B27:B29"/>
    <mergeCell ref="B5:B8"/>
    <mergeCell ref="L34:M34"/>
    <mergeCell ref="A38:H38"/>
    <mergeCell ref="J33:K33"/>
    <mergeCell ref="A31:E31"/>
    <mergeCell ref="F3:H3"/>
    <mergeCell ref="L3:N3"/>
    <mergeCell ref="A27:A29"/>
  </mergeCells>
  <dataValidations count="1">
    <dataValidation sqref="F5:F29 I5:I29 L5:L29" showDropDown="0" showInputMessage="0" showErrorMessage="0" allowBlank="1" errorTitle="Invalid Score" error="Enter a value between 1 and 5" type="list">
      <formula1>"1,2,3,4,5"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2026-09-14T21:57:23Z</dcterms:created>
  <dcterms:modified xmlns:dcterms="http://purl.org/dc/terms/" xmlns:xsi="http://www.w3.org/2001/XMLSchema-instance" xsi:type="dcterms:W3CDTF">2026-09-14T21:57:23Z</dcterms:modified>
</cp:coreProperties>
</file>